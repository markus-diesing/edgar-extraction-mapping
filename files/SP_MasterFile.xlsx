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2"/>
  <workbookPr filterPrivacy="1" showInkAnnotation="0" codeName="ThisWorkbook"/>
  <xr:revisionPtr revIDLastSave="0" documentId="8_{4AC0A365-BB9A-4F9B-9445-33CAC8F20F44}" xr6:coauthVersionLast="47" xr6:coauthVersionMax="47" xr10:uidLastSave="{00000000-0000-0000-0000-000000000000}"/>
  <bookViews>
    <workbookView xWindow="630" yWindow="-120" windowWidth="28290" windowHeight="16440" tabRatio="832" firstSheet="8" activeTab="8" xr2:uid="{00000000-000D-0000-FFFF-FFFF00000000}"/>
  </bookViews>
  <sheets>
    <sheet name="Autocall" sheetId="1" r:id="rId1"/>
    <sheet name="Capital protected" sheetId="2" r:id="rId2"/>
    <sheet name="Non-capital protected" sheetId="12" r:id="rId3"/>
    <sheet name="Minimum redemption" sheetId="13" r:id="rId4"/>
    <sheet name="Tabelle1" sheetId="20" r:id="rId5"/>
    <sheet name="CLN zero coupon" sheetId="4" r:id="rId6"/>
    <sheet name="CLN fixed coupon" sheetId="7" r:id="rId7"/>
    <sheet name="CLN floating coupon" sheetId="8" r:id="rId8"/>
    <sheet name="Credit overlay" sheetId="9" r:id="rId9"/>
    <sheet name="BULL &amp; BEAR" sheetId="15" r:id="rId10"/>
    <sheet name="Warrants" sheetId="16" r:id="rId11"/>
    <sheet name="Mini futures" sheetId="17" r:id="rId12"/>
    <sheet name="Turbos" sheetId="18" r:id="rId13"/>
    <sheet name="Sheet1" sheetId="19" r:id="rId14"/>
  </sheets>
  <externalReferences>
    <externalReference r:id="rId1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2" l="1"/>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AG10" i="12"/>
  <c r="AH10" i="12"/>
  <c r="AI10" i="12"/>
  <c r="AJ10" i="12"/>
  <c r="AK10" i="12"/>
  <c r="AL10" i="12"/>
  <c r="AM10" i="12"/>
  <c r="AN10" i="12"/>
  <c r="AO10" i="12"/>
  <c r="AP10" i="12"/>
  <c r="B10" i="12"/>
  <c r="C9" i="12"/>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AJ9" i="12"/>
  <c r="AK9" i="12"/>
  <c r="AL9" i="12"/>
  <c r="AM9" i="12"/>
  <c r="AN9" i="12"/>
  <c r="AO9" i="12"/>
  <c r="AP9" i="12"/>
  <c r="B9" i="12"/>
  <c r="C25" i="12"/>
  <c r="D25" i="12"/>
  <c r="E25" i="12"/>
  <c r="F25" i="12"/>
  <c r="G25" i="12"/>
  <c r="H25" i="12"/>
  <c r="I25" i="12"/>
  <c r="J25" i="12"/>
  <c r="K25" i="12"/>
  <c r="L25" i="12"/>
  <c r="M25" i="12"/>
  <c r="N25" i="12"/>
  <c r="O25" i="12"/>
  <c r="P25" i="12"/>
  <c r="Q25" i="12"/>
  <c r="R25" i="12"/>
  <c r="S25" i="12"/>
  <c r="T25" i="12"/>
  <c r="U25" i="12"/>
  <c r="V25" i="12"/>
  <c r="W25" i="12"/>
  <c r="X25" i="12"/>
  <c r="Y25" i="12"/>
  <c r="Z25" i="12"/>
  <c r="AA25" i="12"/>
  <c r="AB25" i="12"/>
  <c r="AC25" i="12"/>
  <c r="AD25" i="12"/>
  <c r="AE25" i="12"/>
  <c r="AF25" i="12"/>
  <c r="AG25" i="12"/>
  <c r="AH25" i="12"/>
  <c r="AI25" i="12"/>
  <c r="AJ25" i="12"/>
  <c r="AK25" i="12"/>
  <c r="AL25" i="12"/>
  <c r="AM25" i="12"/>
  <c r="AN25" i="12"/>
  <c r="AO25" i="12"/>
  <c r="AP25" i="12"/>
  <c r="B25" i="12"/>
  <c r="B24" i="12"/>
  <c r="D24" i="12"/>
  <c r="E24" i="12"/>
  <c r="F24" i="12"/>
  <c r="G24" i="12"/>
  <c r="H24" i="12"/>
  <c r="I24" i="12"/>
  <c r="J24" i="12"/>
  <c r="K24" i="12"/>
  <c r="L24" i="12"/>
  <c r="M24" i="12"/>
  <c r="N24" i="12"/>
  <c r="O24" i="12"/>
  <c r="P24" i="12"/>
  <c r="Q24" i="12"/>
  <c r="R24" i="12"/>
  <c r="S24" i="12"/>
  <c r="T24" i="12"/>
  <c r="U24" i="12"/>
  <c r="V24" i="12"/>
  <c r="W24" i="12"/>
  <c r="X24" i="12"/>
  <c r="Y24" i="12"/>
  <c r="Z24" i="12"/>
  <c r="AA24" i="12"/>
  <c r="AB24" i="12"/>
  <c r="AC24" i="12"/>
  <c r="AD24" i="12"/>
  <c r="AE24" i="12"/>
  <c r="AF24" i="12"/>
  <c r="AG24" i="12"/>
  <c r="AH24" i="12"/>
  <c r="AI24" i="12"/>
  <c r="AJ24" i="12"/>
  <c r="AK24" i="12"/>
  <c r="AL24" i="12"/>
  <c r="AM24" i="12"/>
  <c r="AN24" i="12"/>
  <c r="AO24" i="12"/>
  <c r="AP24" i="12"/>
  <c r="C24" i="12"/>
</calcChain>
</file>

<file path=xl/sharedStrings.xml><?xml version="1.0" encoding="utf-8"?>
<sst xmlns="http://schemas.openxmlformats.org/spreadsheetml/2006/main" count="5677" uniqueCount="1247">
  <si>
    <t>SE0006993184</t>
  </si>
  <si>
    <t>FI4000053178</t>
  </si>
  <si>
    <t>SE0006261947</t>
  </si>
  <si>
    <t>SE0006993192</t>
  </si>
  <si>
    <t>XS1311310384</t>
  </si>
  <si>
    <t>XS1322968394</t>
  </si>
  <si>
    <t>SE0004575314</t>
  </si>
  <si>
    <t>FI4000149547</t>
  </si>
  <si>
    <t>SE0005366390</t>
  </si>
  <si>
    <t>FI4000177118</t>
  </si>
  <si>
    <t>SE0005506029</t>
  </si>
  <si>
    <t>SE0008587455</t>
  </si>
  <si>
    <t>100/80/60 flat</t>
  </si>
  <si>
    <t>100/80/60 memory</t>
  </si>
  <si>
    <t>100/100/60 memory</t>
  </si>
  <si>
    <t>100/100/60</t>
  </si>
  <si>
    <t>100/100 flat Capital Protected</t>
  </si>
  <si>
    <t>100/80/60 flat coupon paid at call</t>
  </si>
  <si>
    <t>100/100/150 memory</t>
  </si>
  <si>
    <t>100/100 memory Capital Protected</t>
  </si>
  <si>
    <t>100/60/60 memory on call, flat on coupon barrier</t>
  </si>
  <si>
    <t>100/60/60 memory</t>
  </si>
  <si>
    <t>100/100/60 flat</t>
  </si>
  <si>
    <t>Autocall 1</t>
  </si>
  <si>
    <t>Autocall 2</t>
  </si>
  <si>
    <t>Autocall 3</t>
  </si>
  <si>
    <t>Autocall 4</t>
  </si>
  <si>
    <t>Autocall 5</t>
  </si>
  <si>
    <t>Autocall 6</t>
  </si>
  <si>
    <t>Autocall 7</t>
  </si>
  <si>
    <t>Autocall 8</t>
  </si>
  <si>
    <t>Autocall 9</t>
  </si>
  <si>
    <t>Autocall 10</t>
  </si>
  <si>
    <t>Autocall 11</t>
  </si>
  <si>
    <t>Autocall 12</t>
  </si>
  <si>
    <t>Autocall 13</t>
  </si>
  <si>
    <t>Level 1</t>
  </si>
  <si>
    <t>Autocall</t>
  </si>
  <si>
    <t>Level 2</t>
  </si>
  <si>
    <t>Worst of</t>
  </si>
  <si>
    <t>Single underlying</t>
  </si>
  <si>
    <t>Single underlying FX</t>
  </si>
  <si>
    <t>Level 3</t>
  </si>
  <si>
    <t>Flat coupon</t>
  </si>
  <si>
    <t>Memory coupon</t>
  </si>
  <si>
    <t>Classic autocall</t>
  </si>
  <si>
    <t>Two coupons</t>
  </si>
  <si>
    <t>Flat coupon, accrued and paid on call or maturity</t>
  </si>
  <si>
    <t>Level 4</t>
  </si>
  <si>
    <t>Capital guaranteed</t>
  </si>
  <si>
    <t>Short description</t>
  </si>
  <si>
    <t xml:space="preserve">This is an autocallable with more than one underlying asset. It has a call barrier and a coupon barrier, which are at different levels, and a risk barrier. The coupon is flat, no memory. </t>
  </si>
  <si>
    <t xml:space="preserve">This is an autocallable with more than one underlying asset. It has a call barrier and a coupon barrier at different levels, and a risk barrier. The coupon is a memory coupon. </t>
  </si>
  <si>
    <t>This is an autocallable with more than one underlying asset. It has a call barrier and a coupon barrier, which are at the same level, and a risk barrier. The coupon is a memory coupon.</t>
  </si>
  <si>
    <t xml:space="preserve">This is an autocallable with more than one underlying asset. It has a call barrier and a coupon barrier, which are at the same level, and a risk barrier. There are two coupons, one guaranteed and one call coupon. </t>
  </si>
  <si>
    <t>This is a capital protected autocallable with more than one underlying asset. It has a call barrier and a coupon barrier with the same level. The coupon is flat, no memory.</t>
  </si>
  <si>
    <t>This is an autocallable with more than one underlying asset. It has a call barrier and a coupon barrier at different levels, and a risk barrier. The coupon(s) will be accrued and paid at call.</t>
  </si>
  <si>
    <t>This is an autocallable with one underlying asset. It has a call barrier and a coupon barrier at the same level, and a risk barrier. The coupon is a memory coupon.</t>
  </si>
  <si>
    <t>This is an autocallable with one underlying asset (currency pair). It has a call barrier and a coupon barrier at the same level, and a risk barrier on a higher level. The coupon is a memory coupon.</t>
  </si>
  <si>
    <t>This is a capital protected autocallable with more than one underlying asset. It has a call barrier and a coupon barrier at the same level. The coupon is a memory coupon.</t>
  </si>
  <si>
    <t xml:space="preserve">This is an autocallable with more than one underlying asset. It has a call barrier and a coupon barrier at different levels, and a risk barrier. There are two coupons, one flat coupon paid when the worst performing underlying asset is at or above the coupon barrier, but below the call barrier. And one memory coupon (call coupon) paid when all underlying assets are at or above the call barrier. </t>
  </si>
  <si>
    <t xml:space="preserve">This is an autocallable with one underlying asset. It has a call barrier and a coupon barrier on different levels, and a risk barrier. The coupon is a memory coupon. </t>
  </si>
  <si>
    <t>This is an autocallable with more than one underlying asset. It has a call barrier and a coupon barrier, which are at the same level, and a risk barrier. The coupon is a flat coupon.</t>
  </si>
  <si>
    <t>EUSIPA-code</t>
  </si>
  <si>
    <t>JIRA Code</t>
  </si>
  <si>
    <t>JIRA Issue ID</t>
  </si>
  <si>
    <t>JIRA Product Feature</t>
  </si>
  <si>
    <t>EDIP</t>
  </si>
  <si>
    <t>100%CapProtected</t>
  </si>
  <si>
    <t>DigitalObs</t>
  </si>
  <si>
    <t>DigitalObs Memory</t>
  </si>
  <si>
    <t>DigitalObs Zero</t>
  </si>
  <si>
    <t>DigitalObs Coupon</t>
  </si>
  <si>
    <t>DigitalObs CouponAccrued</t>
  </si>
  <si>
    <t>CallObs Zero</t>
  </si>
  <si>
    <t>CallObs Coupon</t>
  </si>
  <si>
    <t>CallObs xN</t>
  </si>
  <si>
    <t>FixedCoupons</t>
  </si>
  <si>
    <t>Special</t>
  </si>
  <si>
    <t>Fixing needed?</t>
  </si>
  <si>
    <t>FinalFixing, DigitalObsFixing, CallObsFixing</t>
  </si>
  <si>
    <t>Type</t>
  </si>
  <si>
    <t>Express certificate (Autocall)
1 b according to the MiFID (legal form?)</t>
  </si>
  <si>
    <t>Underlying asset(s) (initial price)</t>
  </si>
  <si>
    <t>How the investment works</t>
  </si>
  <si>
    <t xml:space="preserve">The objective is to receive a coupon, even if the worst performing underlying asset remains unchanged or even has a slightly negative performance. </t>
  </si>
  <si>
    <t xml:space="preserve">The objective is to receive a coupon, even if the underlying asset remains unchanged or even has a slightly negative performance. </t>
  </si>
  <si>
    <t xml:space="preserve">The objective is to receive a coupon, even if the underlying asset remains unchanged or even has a slightly positive performance. </t>
  </si>
  <si>
    <t>The return of the investment depends on the performance of the worst performing underlying asset during the lifetime of the investment.</t>
  </si>
  <si>
    <t>The return of the investment depends on the performance of the underlying asset during the lifetime of the investment.</t>
  </si>
  <si>
    <t>If, on an observation date, all underlying assets are at or above the call barrier the note will redeem early and the nominal amount plus a coupon will be paid on the early redemption date immediately following the observation date.</t>
  </si>
  <si>
    <t>If, on an observation date, all underlying assets are at or above the call barrier the note will redeem early and the nominal amount plus a coupon for each observation date that has passed and not previously paid any coupon will be paid on the early redemption date immediately following the observation date.</t>
  </si>
  <si>
    <t>If, on an observation date, all underlying assets are at or above the call barrier and the coupon barrier the note will redeem early and the nominal amount plus a coupon for each observation date that has passed will be paid on the early redemption date immediately following the observation date.</t>
  </si>
  <si>
    <t xml:space="preserve">If, on an observation date, all underlying assets are at or above the call barrier and the coupon barrier the note will redeem early and the nominal amount, the guaranteed coupon and a call coupon will be paid on the early redemption date immediately following the observation date. </t>
  </si>
  <si>
    <t>If, on an observation date, all underlying assets are at or above the call barrier and the coupon barrier the note will redeem early and the nominal amount plus a coupon will be paid on the early redemption date immediately following the observation date.</t>
  </si>
  <si>
    <t>If, on an observation date, all underlying assets are at or above the call barrier the note will redeem early and the nominal amount plus a coupon for each valuation date that has passed where all underlying assets has been at or above the coupon barrier, will be paid on the early redemption date immediately following the observation date.</t>
  </si>
  <si>
    <t>If, on an observation date, the underlying asset is at or above the call barrier and the coupon barrier the note will redeem early and the nominal amount plus a coupon for each observation date that has passed will be paid on the early redemption date immediately following the observation date.</t>
  </si>
  <si>
    <t>If, on an observation date, the underlying asset is at or below the call barrier and the coupon barrier the note will redeem early and the nominal amount plus a coupon for each observation date that has passed will be paid on the early redemption date immediately following the observation date.</t>
  </si>
  <si>
    <t>If, on an observation date, all underlying assets are at or above the call barrier the note will redeem early and the nominal amount plus a call coupon for each observation date that has passed will be paid on the early redemption date immediately following the observation date.</t>
  </si>
  <si>
    <t>If, on an observation date, the underlying asset is at or above the call barrier the note will redeem early and the nominal amount plus a coupon for each observation date that has passed and not previously paid any coupon will be paid on the early redemption date immediately following the observation date.</t>
  </si>
  <si>
    <t>If, on a valuation date, the worst performing underlying asset is at or above the coupon barrier, but below the call barrier, a coupon will be paid on the next interest payment date. The note will not redeem and the maturity will extend at least to the next early redemption date.</t>
  </si>
  <si>
    <r>
      <t>If, on a valuation date, the worst performing underlying asset is at or above the coupon barrier, but below the call barrier, a coupon for eac</t>
    </r>
    <r>
      <rPr>
        <sz val="11"/>
        <rFont val="Calibri"/>
        <family val="2"/>
      </rPr>
      <t>h valuation date t</t>
    </r>
    <r>
      <rPr>
        <sz val="11"/>
        <color theme="1"/>
        <rFont val="Calibri"/>
        <family val="2"/>
      </rPr>
      <t>hat has passed and not previously paid any coupon will be paid on the next interest payment date. The note will not redeem and the maturity will extend at least to the next early redemption date.</t>
    </r>
  </si>
  <si>
    <t>If, on a observation date, the worst performing underlying asset is below the call barrier and the coupon barrier, the note will not redeem and the maturity will extend at least to the next early redemption date.</t>
  </si>
  <si>
    <t>If, on an observation date, the worst performing underlying asset is below the call barrier and the coupon barrier the note will pay the guaranteed coupon. The note will not redeem and the maturity will extend at least to the next early redemption date.</t>
  </si>
  <si>
    <t xml:space="preserve">If, on an observation date, the worst performing underlying asset is below the call barrier and the coupon barrier the note will not redeem and the maturity will extend at least to the next early redemption date without paying any coupon. </t>
  </si>
  <si>
    <t xml:space="preserve">If, on a valuation date, the worst performing underlying asset is at or above the coupon barrier, but below the call barrier, a coupon will be recorded. The coupon will be paid when the note is redeemed, at the redemption date at the latest. </t>
  </si>
  <si>
    <t>If, on an observation date, the underlying asset is below the call barrier and the coupon barrier the note will not redeem and the maturity will extend at least to the next early redemption date.</t>
  </si>
  <si>
    <t>If, on an observation date, the underlying asset is above the call barrier and the coupon barrier the note will not redeem and the maturity will extend at least to the next early redemption date.</t>
  </si>
  <si>
    <t xml:space="preserve">If, on an observation date, the worst performing underlying asset is below the call barrier and the coupon barrier the  note will not redeem and the maturity will extend at least to the next early redemption date.
</t>
  </si>
  <si>
    <t>If, on a valuation date, the worst performing underlying asset is at or above the coupon barrier, but below the call barrier, the note will pay a flat coupon. The note will not redeem and the maturity will extend at least to the next early redemption date.</t>
  </si>
  <si>
    <t>If, on a valuation date, the underlying asset is at or above the coupon barrier, but below the call barrier, a coupon for each valuation date that has passed and not previously paid any coupon will be paid on the next interest payment date. The note will not redeem and the maturity will extend at least to the next early redemption date.</t>
  </si>
  <si>
    <t>If, on a valuation date, the worst performing underlying asset is at or above the coupon barrier, but below the call barrier, a coupon for each valuation date that has passed and not previously paid any coupon will be paid on the next interest payment date. The note will not redeem and the maturity will extend at least to the next early redemption date.</t>
  </si>
  <si>
    <t xml:space="preserve">If, on a valuation date, the worst performing underlying asset is below both the call barrier and the coupon barrier, the note will not redeem and the maturity will extend at least to the next early redemption date without paying any coupon. </t>
  </si>
  <si>
    <t>If, on a valuation date, the worst performing underlying asset is below both the call barrier and the coupon barrier, the note will not redeem and the maturity will extend at least to the next early redemption date.</t>
  </si>
  <si>
    <t>On the last observation date there are three possible scenarios:
1. All underlying assets are at or above the call barrier and the coupon barrier. The note will then pay the nominal amount plus a coupon for each observation date that has passed, on the redemption date.
2. The worst performing underlying asset is below the call barrier and the coupon barrier, but at or above the risk barrier. The note will then pay the nominal amount on the redemption date.
3. The worst performing underlying asset is below the risk barrier. The note will then pay the nominal amount reduced by the negative performance of the worst performing underlying asset, on the redemption date.  </t>
  </si>
  <si>
    <t xml:space="preserve">On the last observation date there are three possible scenarios:
1. All underlying assets are at or above the call barrier and the coupon barrier. The note will then pay the nominal amount, the guaranteed coupon and a call coupon on the redemption date.
2. The worst performing underlying asset is below the call barrier and the coupon barrier, but at or above the risk barrier. The note will then pay the nominal amount and the guaranteed coupon on the redemption date.
3. The worst performing underlying asset is below the risk barrier. The note will then pay the nominal amount, reduced by the negative performance of the worst performing underlying asset, and the guaranteed coupon on the redemption date. </t>
  </si>
  <si>
    <t>On the last observation date there are two possible scenarios:
1. All underlying assets are at or above the coupon barrier and the call barrier. The note will then pay the nominal amount plus a coupon on the redemption date.
2. The worst performing underlying asset has a negative performance. The note will then pay the nominal amount on the redemption date.</t>
  </si>
  <si>
    <t xml:space="preserve">If, on a valuation date, the worst performing underlying asset is below both the call barrier and the coupon barrier, no coupon will be credited. </t>
  </si>
  <si>
    <t xml:space="preserve">On the last observation date there are three possible scenarios:
1. The underlying asset is at or above the call barrier and the coupon barrier. The note will then pay the nominal amount plus a coupon for each observation date that has passed and not previously paid any coupon on the redemption date.
2. The underlying asset is below the call barrier and the coupon barrier, but at or above the risk barrier. The note will then pay the nominal amount on the redemption date.
3. The underlying asset is below the risk barrier. The note will then pay the nominal amount reduced by the negative performance of the underlying asset, on the redemption date.  </t>
  </si>
  <si>
    <t xml:space="preserve">If, on the last observation date, the underlying asset is above the risk barrier the note will pay less than the nominal amount.
</t>
  </si>
  <si>
    <t>On the last observation date there are two possible scenarios:
1. All underlying assets are at or above the coupon barrier and the call barrier. The note will then pay the nominal amount plus a coupon for each observation date that has passed on the redemption date.
2. The worst performing underlying asset has a negative performance. The note will then pay the nominal amount on the redemption date.</t>
  </si>
  <si>
    <t xml:space="preserve">If, on a valuation date, the worst performing underlying asset is below both the call barrier and the coupon barrier, the note will not redeem and the maturity will extend at least to the next early redemption date without paying any flat coupon. </t>
  </si>
  <si>
    <t>If, on a valuation date, the underlying asset is below both the call barrier and the coupon barrier, the note will not redeem and the maturity will extend at least to the next early redemption date.</t>
  </si>
  <si>
    <t xml:space="preserve">On the last observation date there are three possible scenarios:
1. All underlying assets are at or above the call barrier and the coupon barrier. The note will then pay the nominal amount plus a coupon on the redemption date.
2. The worst performing underlying asset is below the call barrier and the coupon barrier, but at or above the risk barrier. The note will then pay the nominal amount on the redemption date.
3. The worst performing underlying asset is below the risk barrier. The note will then pay the nominal amount reduced by the negative performance of the worst performing underlying asset, on the redemption date.  </t>
  </si>
  <si>
    <t xml:space="preserve">On the last observation date there are three possible scenarios:
1. All underlying assets are at or above the coupon barrier. The note will then pay the nominal amount plus a coupon on the redemption date.
2. The worst performing underlying asset is below the coupon barrier, but at or above the risk barrier. The note will then pay the nominal amount on the redemption date.
3. The worst performing underlying asset is below the risk barrier. The note will then pay the nominal amount reduced by the negative performance of the worst performing underlying asset, on the redemption date.  </t>
  </si>
  <si>
    <t>On the last observation date there are three possible scenarios:
1. All underlying assets are at or above the coupon barrier. The note will then pay the nominal amount plus a coupon for each observation dvaluation date that has passed and not previously paid any coupon, on the redemption date.
2. The worst performing underlying asset is below the coupon barrier, but at or above the risk barrier. The note will then pay the nominal amount on the redemption date.
3. The worst performing underlying asset is below the risk barrier. The note will then pay the nominal amount reduced by the negative performance of the worst performing underlying asset, on the redemption date.  </t>
  </si>
  <si>
    <t>On the last observation date there are three possible scenarios:
1. All underlying assets are at or above the coupon barrier. The note will then pay the nominal amount plus a coupon for the last period and for each valuation date that has passed where all underlying assets has been at or above the coupon barrier, on the redemption date.
2. The worst performing underlying asset is below the coupon barrier, but at or above the risk barrier. The note will then pay the nominal amount plus a coupon for each valuation date that has passed where all underlying assets has been at or above the coupon barrier, on the redemption date.
3. The worst performing underlying asset is below the risk barrier. The note will then pay the nominal amount, reduced by the negative performance of the worst performing underlying asset, plus a coupon for each valuation date that has passed where all underlying assets has been at or above the coupon barrier, on the redemption date.</t>
  </si>
  <si>
    <t xml:space="preserve">
On the last observation date there are three possible scenarios:
1. All underlying assets are at or above the call barrier. The note will then pay the nominal amount plus a call coupon for each observation date that has passed, on the redemption date.
2. The worst performing underlying asset is below the call barrier, but at or above the coupon barrier. The note will then pay the nominal amount plus a flat coupon on the redemption date.
3. The worst performing underlying asset is below the risk barrier. The note will then pay the nominal amount reduced by the negative performance of the worst performing underlying asset on the redemption date.  </t>
  </si>
  <si>
    <t xml:space="preserve">On the last observation date there are three possible scenarios:
1. The underlying asset is at or above the coupon barrier. The note will then pay the nominal amount plus a coupon for each observation date that has passed and not previously paid any coupon on the redemption date.
2. The underlying asset is below the coupon barrier, but at or above the risk barrier. The note will then pay the nominal amount on the redemption date.
3. The underlying asset is below the risk barrier. The note will then pay the nominal amount reduced by the negative performance of the underlying asset on the redemption date.  </t>
  </si>
  <si>
    <t xml:space="preserve">On the last observation date there are two possible scenarios:
1. All underlying assets are at or above the risk barrier. The note will then pay the nominal amount plus a coupon for each observation date that has passed and not previously paid any coupon, on the redemption date.
2. The worst performing underlying asset is below the risk barrier. The note will then pay the nominal amount reduced by the negative performance of the worst performing underlying asset on the redemption date.  </t>
  </si>
  <si>
    <t>Key numbers:</t>
  </si>
  <si>
    <t>Minimum subscription amount</t>
  </si>
  <si>
    <t>Subscription end date</t>
  </si>
  <si>
    <t>Issue price</t>
  </si>
  <si>
    <t>Issue date</t>
  </si>
  <si>
    <t>Nominal amount + currency</t>
  </si>
  <si>
    <t>Nominal amount/Capital protection + currency</t>
  </si>
  <si>
    <t>Coupon</t>
  </si>
  <si>
    <t>Guaranteed coupon</t>
  </si>
  <si>
    <t xml:space="preserve">Coupon </t>
  </si>
  <si>
    <t>Call coupon</t>
  </si>
  <si>
    <t>Call barrier</t>
  </si>
  <si>
    <t>Coupon barrier</t>
  </si>
  <si>
    <t>Risk barrier</t>
  </si>
  <si>
    <t>Observation date(s)</t>
  </si>
  <si>
    <t>Early redemption date(s)</t>
  </si>
  <si>
    <t>Valuation date(s)</t>
  </si>
  <si>
    <t>Redemption date</t>
  </si>
  <si>
    <t>Interest payment date(s)</t>
  </si>
  <si>
    <t>Initial valuation date</t>
  </si>
  <si>
    <t>SE0006261657</t>
  </si>
  <si>
    <t>SE0006992608</t>
  </si>
  <si>
    <t>SE0006261970</t>
  </si>
  <si>
    <t>FI4000090683</t>
  </si>
  <si>
    <t>FI4000040530</t>
  </si>
  <si>
    <t xml:space="preserve">SE0005472099 </t>
  </si>
  <si>
    <t>SE0005130960</t>
  </si>
  <si>
    <t>SE0004391241 KP 45, bäst av tre</t>
  </si>
  <si>
    <t>SE0007665450</t>
  </si>
  <si>
    <t>SE0005506136</t>
  </si>
  <si>
    <t>DK0030344965</t>
  </si>
  <si>
    <t>NONE OUTSTANDING - REMOVE</t>
  </si>
  <si>
    <t>FI4000069919</t>
  </si>
  <si>
    <t>SE0005796281 - KP71</t>
  </si>
  <si>
    <t>FI4000041280</t>
  </si>
  <si>
    <t>DK0030334495</t>
  </si>
  <si>
    <t>FI4000040522</t>
  </si>
  <si>
    <t>FI4000040365</t>
  </si>
  <si>
    <t>SE0004548204</t>
  </si>
  <si>
    <t>DK0030297197</t>
  </si>
  <si>
    <t>SE0004724904</t>
  </si>
  <si>
    <t>DK0030317722</t>
  </si>
  <si>
    <t>SE0006992400</t>
  </si>
  <si>
    <t>DK0030302377</t>
  </si>
  <si>
    <t>SE0005795861</t>
  </si>
  <si>
    <t>SE0005505906</t>
  </si>
  <si>
    <t>SE0004491066</t>
  </si>
  <si>
    <t>SE0005126232</t>
  </si>
  <si>
    <t>XS1344758468</t>
  </si>
  <si>
    <t>XS1241177390</t>
  </si>
  <si>
    <t>SE0006262291</t>
  </si>
  <si>
    <t>SE0005224227</t>
  </si>
  <si>
    <t>FI4000033949</t>
  </si>
  <si>
    <t>FI4000040381</t>
  </si>
  <si>
    <t>FI4000041694</t>
  </si>
  <si>
    <t>FI4000046289</t>
  </si>
  <si>
    <t>REMOVE</t>
  </si>
  <si>
    <t>Capital protected 1</t>
  </si>
  <si>
    <t>Capital protected 2</t>
  </si>
  <si>
    <t>Capital protected 3</t>
  </si>
  <si>
    <t>Capital protected 4</t>
  </si>
  <si>
    <t>Capital protected 5</t>
  </si>
  <si>
    <t>Capital protected 6</t>
  </si>
  <si>
    <t>Capital protected 7</t>
  </si>
  <si>
    <t>Capital protected 8</t>
  </si>
  <si>
    <t>Capital protected 9</t>
  </si>
  <si>
    <t>Capital protected 10</t>
  </si>
  <si>
    <t>Capital protected 11</t>
  </si>
  <si>
    <t>Capital protected 12</t>
  </si>
  <si>
    <t>Capital protected 13</t>
  </si>
  <si>
    <t>Capital protected 14</t>
  </si>
  <si>
    <t>Capital protected 15</t>
  </si>
  <si>
    <t>Capital protected 16</t>
  </si>
  <si>
    <t>Capital protected 17</t>
  </si>
  <si>
    <t>Capital protected 18</t>
  </si>
  <si>
    <t>Capital protected 19</t>
  </si>
  <si>
    <t>Capital protected 20</t>
  </si>
  <si>
    <t>Capital protected 21</t>
  </si>
  <si>
    <t>Capital protected 22</t>
  </si>
  <si>
    <t>Capital protected 23</t>
  </si>
  <si>
    <t>Capital protected 24</t>
  </si>
  <si>
    <t>Capital protected 26</t>
  </si>
  <si>
    <t>Capital protected 27</t>
  </si>
  <si>
    <t>Capital protected 28</t>
  </si>
  <si>
    <t>Capital protected 29</t>
  </si>
  <si>
    <t>Capital protected 30</t>
  </si>
  <si>
    <t>Capital protected 31</t>
  </si>
  <si>
    <t>Capital protected 32</t>
  </si>
  <si>
    <t>Capital protected 33</t>
  </si>
  <si>
    <t>Capital protected 34</t>
  </si>
  <si>
    <t>Capital protected 35</t>
  </si>
  <si>
    <t>Capital protected 36</t>
  </si>
  <si>
    <t>Capital protected 37</t>
  </si>
  <si>
    <t>Capital protected 38</t>
  </si>
  <si>
    <t>Capital protected 39</t>
  </si>
  <si>
    <t>Capital protected 40</t>
  </si>
  <si>
    <t>Capital protected 41</t>
  </si>
  <si>
    <t>Capital protected 42</t>
  </si>
  <si>
    <t>Multi underlying</t>
  </si>
  <si>
    <t>Multi underlying with best replacement</t>
  </si>
  <si>
    <t>Multi underlying, best performance</t>
  </si>
  <si>
    <t>Multi underlying with best replacement structure</t>
  </si>
  <si>
    <t>Single underlying, TOM</t>
  </si>
  <si>
    <t>Multi underlying, underlying performance is the difference between performance in two different underlying assets</t>
  </si>
  <si>
    <t>Multi underlying FX</t>
  </si>
  <si>
    <t>Single underlying (rate)</t>
  </si>
  <si>
    <t>Multi underlying, relative difference betweeen two assets</t>
  </si>
  <si>
    <t>Single underlying (interest rate)</t>
  </si>
  <si>
    <t>Multi underlying (relative difference between two underlying assets)</t>
  </si>
  <si>
    <t>Multi underlying, TOM</t>
  </si>
  <si>
    <t>Single underlying, monthly performance</t>
  </si>
  <si>
    <t>Participation ratio</t>
  </si>
  <si>
    <t>Capped coupon</t>
  </si>
  <si>
    <t>Interest, accrued and paid at redemption</t>
  </si>
  <si>
    <t>Fixed interest rate. Accrued, acumulated and paid at redemption</t>
  </si>
  <si>
    <t>Floating interest</t>
  </si>
  <si>
    <t>Fixed coupon</t>
  </si>
  <si>
    <t>Fixed coupon for a set number of interest payment dates</t>
  </si>
  <si>
    <t>Capped (monthly) + lock-in</t>
  </si>
  <si>
    <t>Fixed interest for a set number of interest payment dates</t>
  </si>
  <si>
    <t xml:space="preserve">Flexo </t>
  </si>
  <si>
    <t>Quanto</t>
  </si>
  <si>
    <t>Capped</t>
  </si>
  <si>
    <t>Flexo</t>
  </si>
  <si>
    <t xml:space="preserve">Best of </t>
  </si>
  <si>
    <t>Capped on basket level</t>
  </si>
  <si>
    <t>Floor and cap</t>
  </si>
  <si>
    <t>Cap</t>
  </si>
  <si>
    <t>Floating interest for the forthcoming interest payment dates</t>
  </si>
  <si>
    <t>Fixed interest</t>
  </si>
  <si>
    <t xml:space="preserve">Fixed coupon(Guaranteed, paid on each interest payment date) </t>
  </si>
  <si>
    <t>Fixed coupon(Guaranteed) paid at maturity</t>
  </si>
  <si>
    <t>Fixed coupon(Guaranteed) paid on each interest payment date</t>
  </si>
  <si>
    <t>Floor and cap - CMS spread</t>
  </si>
  <si>
    <t>Rainbow</t>
  </si>
  <si>
    <t>Barrier</t>
  </si>
  <si>
    <t>This is a capital protected note with more than one underlying asset in a basket. The note is affected by currency fluctuations.</t>
  </si>
  <si>
    <t xml:space="preserve">This is a capital protected note with more than one underlying asset in a basket. </t>
  </si>
  <si>
    <t xml:space="preserve">This is a capital protected note with more than one underlying asset in a basket. When calculating the basket performance, a specified number of the best performing underlying assets in the basket will be given a fixed performance each. The note is affected by currency fluctuations. </t>
  </si>
  <si>
    <t xml:space="preserve">This is a capital protected note with more than one underlying asset in a basket. When calculating the basket performance, a specified number of the best performing underlying assets in the basket will be given a fixed performance each. </t>
  </si>
  <si>
    <t xml:space="preserve">This is a capital protected note with more than one underlying asset in a basket. When calculating the basket performance, each underlying asset has a cap. </t>
  </si>
  <si>
    <t>This is a capital protected note with a basket of underlying assets. If the underlying basket has a positive performance a coupon will be paid. There is a cap on the coupon.</t>
  </si>
  <si>
    <t>This is a capital protected note with one underlying asset.</t>
  </si>
  <si>
    <t xml:space="preserve">This is a capital protected note with more than one underlying asset in different baskets. At maturity the calculated returns for all the baskets is ranked. The best performer is then applied in order to calculate the return. </t>
  </si>
  <si>
    <t>This is a capital protected note with more than one underlying asset in a basket. When calculating the basket performance, a specified number of the best performing underlying assets in the basket will be given a fixed performance each. For a specific basket performance range, the note will pay the nominal amount plus the nominal amount multiplied by a fixed predefined coupon. For any basket performance above that range, the note will pay the nominal amount plus the nominal amount multiplied by the performance of the basket multiplied by the participation ratio on the redemption date.</t>
  </si>
  <si>
    <t>This is a capital protected note with one underlying asset. The performance of the underlying asset is determined by a predefined strategy – turn of the month. Turn of the month means that the note is exposed to the underlying asset only during a predefined number of days per month. The note is affected by currency fluctuations.</t>
  </si>
  <si>
    <t xml:space="preserve">This is a capital protected note with one underlying asset. The performance of the underlying asset is determined by a predefined strategy – turn of the month. Turn of the month means that the note is exposed to the underlying asset only during a predefined number of days per month. </t>
  </si>
  <si>
    <t xml:space="preserve">This is a capital protected note with more than one underlying asset. The performance of the underlying asset is determined by calculating the difference in the return between two different underlying assets. </t>
  </si>
  <si>
    <t xml:space="preserve">This is a capital protected note with one underlying asset. The performance of the underlying asset is determined by a predefined strategy – turn of the month. Turn of the month means that the note is exposed to the underlying asset only during a predefined number of days per month. Each monthly performance is capped at a predefined level. If the sum of the monthly performances exceeds a predefined lock-in level, the minimum redemption price at maturity is increased to that level. </t>
  </si>
  <si>
    <t xml:space="preserve">This is a capital protected note with more than one underlying asset (currency pairs = basket short) in a basket. </t>
  </si>
  <si>
    <t xml:space="preserve">This is a capital protected note with more than one underlying currency pairs. At maturity the calculated returns for all the underlying baskets (currency pairs) is ranked. The best performer is then applied in order to calculate the return. </t>
  </si>
  <si>
    <t xml:space="preserve">This is a capital protected note with more than one underlying asset in a basket. When calculating the basket performance, the performance of the underlying basket has a cap. </t>
  </si>
  <si>
    <t xml:space="preserve">This is a capital protected note linked to a reference rate. The note pays a floating interest rate, which has a floor and cap for each year. The interest rate is accumulated, meaning that the amount on which the interest is calculated is increasing with each interest rate period. On the redemption date, the note pays the nominal amount plus any accumulated interest rates. </t>
  </si>
  <si>
    <t xml:space="preserve">This is a capital protected note, linked to the relative difference between two underlying interest rates. The interest rate spread has a floor and a cap. On the redemption date, the note will pay the nominal amount + nominal amount x the relative difference (taking into account the floor and the cap) x participation ratio. 
</t>
  </si>
  <si>
    <t xml:space="preserve">This is a capital protected note with a fixed interest rate. The interest rate is accumulated, meaning that the amount on which the interest is calculated is increasing with each interest rate period. On the redemption date, the note pays the nominal amount plus accumulated interest rate. </t>
  </si>
  <si>
    <t xml:space="preserve">This is a capital protected note linked to a floating reference rate. The note pays a reference rate + interest margin, calculated on the nominal amount on each interest payment date. The annual interest rate has a cap. On the redemption date, the note pays the nominal amount. </t>
  </si>
  <si>
    <t xml:space="preserve">This is a capital protected note linked to a floating reference rate. If, on an interest determination date, the reference rate is within a predefined interval, the note will pay the reference rate plus the interest margin multiplied by the nominal amount on the next interest payment date. If the reference rate is lower than the floor, or higher than the cap, the note will pay the reference rate multiplied by the nominal amount on the next interest payment date. On the redemption date, the note pays the nominal amount. </t>
  </si>
  <si>
    <t xml:space="preserve">This is a capital protected note with one underlying asset. If, on a valuation date, the underlying asset is within a predefined interval, the note will be credited a predefined coupon. If, on a valuation date, the underlying asset is lower or higher than the predefined interval, no coupon will be credited for that period. The coupon is accumulated and paid on each interest payment date. On the redemption date, the note will pay nominal amount.  </t>
  </si>
  <si>
    <t xml:space="preserve">This is a capital protected note linked to the relative difference between two underlying assets. The note will pay a fixed coupon for a set number of interest payment dates, calculated on the nominal amount. For the forthcoming interest payment dates, the note will pay a floating interest payment. On the redemption date, the note will pay the nominal amount. </t>
  </si>
  <si>
    <t xml:space="preserve">This is a capital protected note, linked to the relative difference between two underlying interest rates. The interest rate spread has a floor and a cap. On the redemption date, the note will pay the nominal amount + nominal amount x the relative difference (taking into account the floor and the cap) x participation ratio. On each interest payment date, the note will pay a fixed interest, calculated on the nominal amount. 
</t>
  </si>
  <si>
    <t>This is a capital protected note with one underlying asset. The note is affected by currency fluctuations.</t>
  </si>
  <si>
    <t>This is a capital protected note with one underlying asset. The note pays a fixed guaranteed coupon, on each interest payment date, calculated on the nominal amount. The note is affected by currency fluctuations.</t>
  </si>
  <si>
    <t>This is a capital protected note with one underlying asset. The note pays a fixed guaranteed coupon at maturity, calculated on the nominal amount. The note is affected by currency fluctuations.</t>
  </si>
  <si>
    <t xml:space="preserve">This is a capital protected note with one underlying asset. The note pays a fixed guaranteed interest at maturity, calculated on the nominal amount. </t>
  </si>
  <si>
    <t xml:space="preserve">This is a capital protected note with more than one underlying asset. The note pays a fixed guaranteed interest, on each interest payment date, calculated on the nominal amount. </t>
  </si>
  <si>
    <t>This is a capital protected note with more than one underlying asset. The performance of the underlying assets is determined by a predefined strategy – turn of the month. Turn of the month means that the note is exposed to the underlying assets only during a predefined number of days per month.</t>
  </si>
  <si>
    <t xml:space="preserve">This is a capital protected note with one underlying asset. Each monthly performance is capped at a predefined level. If the sum of the monthly performances exceeds a predefined lock-in level, the minimum redemption amount at maturity is increased to that level. </t>
  </si>
  <si>
    <t xml:space="preserve">This is a capital protected note linked to the relative difference between two underlying assets. The note will pay a fixed coupon for a set number of interest payment dates, calculated on the nominal amount. For the forthcoming interest payment dates, the note will pay a floating coupon, linked to an interest rate spread. The interest rate spread has a floor and a cap. On the redemption date, the note will pay the nominal amount. </t>
  </si>
  <si>
    <t xml:space="preserve">This is a capital protected note linked to the relative difference between two underlying assets. The note will pay a floating coupon, linked to an interest rate spread. The interest rate spread has a floor and a cap. On the redemption date, the note will pay the nominal amount. </t>
  </si>
  <si>
    <t xml:space="preserve">This is a capital protected note with more than one underlying currency pairs. If the basket has a positive performance, the note will pay the nominal amount plus the nominal amount multiplied by the performance of the basket multiplied by the participation ratio, on the redemption date. When calculating the basket performance, each currency pair will be given a speicific weight in the basket. If the basket has an negative performance, the note will pay the nominal amount on the redemption date. </t>
  </si>
  <si>
    <t xml:space="preserve">This is a capital protected note with one underlying asset. The note pays a fixed guaranteed coupon, on each interest payment date, calculated on the nominal amount. </t>
  </si>
  <si>
    <t xml:space="preserve">This is a capital protected note linked to a floating reference rate. The note pays a floating reference rate, calculated on the nominal amount, on each interest payment date. The annual interest rate has a cap and a floor. On the redemption date, the note pays the nominal amount. </t>
  </si>
  <si>
    <t xml:space="preserve">This is a capital protected note linked to a reference rate. The note pays a floating interest rate (reference rate + interest margin), which has a cap for each year, calculated on the nominal amount. The interest rate is accumulated, meaning that the amount on which the interest is calculated is increasing with each interest rate period. On the redemption date, the note pays the nominal amount plus accumulated interest rates. </t>
  </si>
  <si>
    <t xml:space="preserve">This is a capital protected note linked to a floating reference rate. The note pays a floating reference rate (reference rate + interest margin), calculated on the nominal amount, on each interest payment date. The annual interest rate has a cap and a floor. On the redemption date, the note pays the nominal amount. </t>
  </si>
  <si>
    <t>This is a capital protected note linked to a floating reference rate. The note will pay a fixed interest for a set number of interest payment dates, calculated on the nominal amount. For the forthcoming interest payment dates, the note will pay a floating interest (reference rate + interest margin) calculcated on the  nominal amount. The floating interest payments has a yearly cap.</t>
  </si>
  <si>
    <t xml:space="preserve">This is a capital protected note linked to the relative difference between two underlying assets. The note will pay a fixed coupon on the first interest payment date, calculated on the nominal amount. For the forthcoming interest payment dates, the note will pay a floating coupon, linked to the performance of an interest rate spread. </t>
  </si>
  <si>
    <t>100%CapitalProtection</t>
  </si>
  <si>
    <t>Call1</t>
  </si>
  <si>
    <t>Best-of Coupon/Participation</t>
  </si>
  <si>
    <t>UnderlyingSpreadPerformance</t>
  </si>
  <si>
    <t>FloatingFixings</t>
  </si>
  <si>
    <t>FinalFixings</t>
  </si>
  <si>
    <t>FloatingFixing</t>
  </si>
  <si>
    <t>UnderlyingSwitchToFixed</t>
  </si>
  <si>
    <t>IndividualCaps</t>
  </si>
  <si>
    <t>AsianObservation</t>
  </si>
  <si>
    <t>TOM</t>
  </si>
  <si>
    <t>BestReplacement</t>
  </si>
  <si>
    <t>1 b according to the MiFID (legal form?)</t>
  </si>
  <si>
    <t>Uncapped Capital Protection</t>
  </si>
  <si>
    <t>Capped Capital Protected</t>
  </si>
  <si>
    <t>Capital Protection with Coupon</t>
  </si>
  <si>
    <t>Capped Capital Protection</t>
  </si>
  <si>
    <t>Underlying asset(s)</t>
  </si>
  <si>
    <t xml:space="preserve">The objective is to benefit from a rising market, and at the same time have the protection of getting back the nominal amount if the market is falling. </t>
  </si>
  <si>
    <t xml:space="preserve">The objective is to benefit from the relative difference between two underlying assets, and at the same time have the protection of getting back the nominal amount if the market is falling. </t>
  </si>
  <si>
    <t xml:space="preserve">The objective is to benefit from a positive interest rate market, and at the same time have the protection of getting back the nominal amount if the market is falling. </t>
  </si>
  <si>
    <t xml:space="preserve">The objective is to receive the predefined interest payments, and at the same time have the protection of getting back the nominal amount if the market is falling. </t>
  </si>
  <si>
    <t>The return of the investment depends on the performance of a basket of underlying assets during the lifetime of the investment.</t>
  </si>
  <si>
    <t>The return of the investment depends on the performance of an underlying asset during the lifetime of the investment.</t>
  </si>
  <si>
    <t>The return of the investment depends on the performance of several baskets of underlying assets during the lifetime of the investment.</t>
  </si>
  <si>
    <t>The return of the investment depends on the relative performance of the underlying assets during the lifetime of the investment.</t>
  </si>
  <si>
    <t>The return of the investment depends on the performance of a basket of underlying currency pairs during the lifetime of the investment.</t>
  </si>
  <si>
    <t>The return of the investment is linked to a floating interest rate.</t>
  </si>
  <si>
    <t xml:space="preserve">The return of the investment depends on the relative difference between two underlying interest rates. </t>
  </si>
  <si>
    <t>The return of the investment is linked to a fixed interest rate.</t>
  </si>
  <si>
    <t>The return of the investment is linked to a floating reference rate.</t>
  </si>
  <si>
    <t>The return of the investment depends on the relative difference between two underlying assets during the lifetime of the investment.</t>
  </si>
  <si>
    <t>The return of the investment depends on the relative difference (taking into account the performance floor and the performance cap) between two underlying assets during the lifetime of the investment.</t>
  </si>
  <si>
    <t>The return of the investment depends on the relative difference between two underlying assets (taking into account the performance floor and the performance cap) during the lifetime of the investment.</t>
  </si>
  <si>
    <t>The return of the investment depends on the performance of a basket of currency pairs during the lifetime of the investment.</t>
  </si>
  <si>
    <t>The return of the investment is linked to one fixed and one floating interest rate.</t>
  </si>
  <si>
    <t>If the basket has a positive performance, the note will pay the nominal amount plus the nominal amount multiplied by the performance of the basket multiplied by the participation ratio, on the redemption date. Currency fluctuations will also affect the return of the investment.</t>
  </si>
  <si>
    <t xml:space="preserve">If the basket has a positive performance, the note will pay the nominal amount plus the nominal amount multiplied by the performance of the basket multiplied by the participation ratio, on the redemption date. </t>
  </si>
  <si>
    <t>If the basket has a positive performance, the note will pay the nominal amount plus the nominal amount multiplied by the performance of the basket multiplied by the participation ratio, on the redemption date. When calculating the performance of the basket, a specified number of the best performing underlying assets in the basket will be assigned a fixed performance each (see specified numbers below). Currency fluctuations will also affect the return of the investment.</t>
  </si>
  <si>
    <t>If the basket has a positive performance, the note will pay the nominal amount plus the nominal amount multiplied by the performance of the basket multiplied by the participation ratio, on the redemption date. When calculating the performance of the basket, a specified number of the best performing underlying assets in the basket will be assigned a fixed performance each (see specified numbers below).</t>
  </si>
  <si>
    <t>If the basket has a positive performance, the note will pay the nominal amount plus the nominal amount multiplied by the performance of the basket multiplied by the participation ratio, on the redemption date. When calculating the performance of the basket, each underlying asset has a performance cap.</t>
  </si>
  <si>
    <t>If, on an interest determination date, the value of the basket is at or above it´s initial value, the note will pay a coupon that is equal to the lowest of the baskets performance and the coupon, on the next interest payment date.</t>
  </si>
  <si>
    <t xml:space="preserve">If the underlying asset has a positive performance, the note will pay the nominal amount plus the nominal amount multiplied by the performance of the underlying asset multiplied by the participation ratio, on the redemption date. </t>
  </si>
  <si>
    <t xml:space="preserve">If the best performing basket has a positive performance, the note will pay the nominal amount plus the nominal amount multiplied by the performance of that basket multiplied by the participation ratio, on the redemption date. </t>
  </si>
  <si>
    <t xml:space="preserve">When calculating the basket performance, a specified number of the best performing underlying assets in the basket will be assigned a fixed performance each (see specified numbers below). </t>
  </si>
  <si>
    <t xml:space="preserve">The relative performance of the underlying assets is determined by calculating the difference in the return between two underlying assets. </t>
  </si>
  <si>
    <t>The performance of the underlying asset is determined by a predefined strategy – turn of the month. Turn of the month means that the note is exposed to the underlying asset only during a predefined number of days per month. Each monthly performance is capped at a predefined level. There is also a lock-in feature, which means that if the sum of the monthly performances reaches a lock-in level the note will at least pay that amount on the redemption date.</t>
  </si>
  <si>
    <t xml:space="preserve">If the best performing underlying currency pair has a positive performance, the note will pay the nominal amount plus the nominal amount multiplied by the performance of that currency pair multiplied by the participation ratio, on the redemption date. </t>
  </si>
  <si>
    <t>If the basket has a positive performance, the note will pay the nominal amount plus the nominal amount multiplied by the performance of the basket multiplied by the participation ratio, on the redemption date. When calculating the performance, the performance has a cap.</t>
  </si>
  <si>
    <t xml:space="preserve">The performance of the note is linked to a reference rate. The interest rate has a yearly performance floor and cap. On each interest payment date, the interest is accumulated and the forthcoming interest rates will be calculated on the sum of the nominal amount plus the accumulated interest rates. </t>
  </si>
  <si>
    <t>If the relative difference between the underlying interest rates is within a predefined interval, the note will pay the nominal amount plus the nominal amount multiplied by the participation ratio multiplied by the relative difference between the underlying assets minus the performance floor, on the redemption date.</t>
  </si>
  <si>
    <t xml:space="preserve">For each interest determination period, a fixed interest will be credited. The interest is accumulated, and the forthcoming interest will be calculated on the sum of the nominal amount and the accumulated interest rates. </t>
  </si>
  <si>
    <t xml:space="preserve">The note will pay a floating interest rate (reference rate plus interest margin), calculated on the nominal amount, on each interest payment date. The floating interest rate has a yearly performance cap. </t>
  </si>
  <si>
    <t>If, on an interest determination date, the reference rate is within a predefined interval, the note will pay the reference rate plus the interest margin multiplied by the nominal amount on the next interest payment date.</t>
  </si>
  <si>
    <t>If, on a valuation date, the underlying asset is at or above the yearly performance floor and at or below the yearly performance cap, the note will be credited the coupon multiplied by the nominal amount. The credited coupons will be paid on the next interest payment date.</t>
  </si>
  <si>
    <t>The note will pay a fixed interest, calculated on the nominal amount, for a set number of interest payment dates. For the forthcoming interest payment dates, the note will pay a floating interest.</t>
  </si>
  <si>
    <t>The note will pay a fixed interest, calculated on the nominal amount, on each interest payment date.</t>
  </si>
  <si>
    <t>If the underlying asset has a positive performance, the note will pay the nominal amount plus the nominal amount multiplied by the performance of the underlying asset multiplied by the participation ratio, on the redemption date. Currency fluctuations will also affect the return of the investment.</t>
  </si>
  <si>
    <t>The note will pay a coupon, calculated on the nominal amount, on the redemption date.</t>
  </si>
  <si>
    <t>The monthly performance has a predefined performance cap. There is also a lock-in feature, which means that if the sum of the monthly performances reaches a lock-in level the note will at least pay that amount on the redemption date.</t>
  </si>
  <si>
    <t>If, on an interest determination date, the relative difference between the underlying interest rates is within a predefined interval, the note will pay the nominal amount multiplied by the participation ratio multiplied by the relative difference between the underlying assets on the next interest payment date.</t>
  </si>
  <si>
    <t xml:space="preserve">If the basket has a positive performance, the note will pay the nominal amount plus the nominal amount multiplied by the performance of the basket multiplied by the participation ratio, on the redemption date. When calculating the basket performance, each currency pair will be given a speicific weight in the basket. </t>
  </si>
  <si>
    <t xml:space="preserve">The note will pay a floating interest (the reference rate), calculated on the nominal amount, on each interest payment date. The interest rate has a yearly performance floor and performance cap. </t>
  </si>
  <si>
    <t xml:space="preserve">The performance of the note is linked to an interest rate (reference rate plus interest margin). The interest rate has a yearly performance cap. On each interest payment date, the interest is accumulated and the forthcoming interest rates will be calculated on the sum of the nominal amount plus the accumulated interest rates. </t>
  </si>
  <si>
    <t xml:space="preserve">The note will pay a floating interest (reference rate plus interest margin), calculated on the nominal amount, on each interest payment date. The interest rate has a yearly performance floor and performance cap. </t>
  </si>
  <si>
    <t xml:space="preserve">The note will pay a fixed interest, calculated on the nominal amount, for a set number of interest payment dates. For the forthcoming interest payment dates, the note will pay a floating interest (reference rate plus interest margin), calculated on the nominal amount. The floating interest payments has a yearly performance cap. </t>
  </si>
  <si>
    <t xml:space="preserve">The note will pay a fixed interest, calculated on the nominal amount, on the fixed interest payment date. </t>
  </si>
  <si>
    <t xml:space="preserve">If the basket has an negative performance, the note will pay the nominal amount on the redemption date. </t>
  </si>
  <si>
    <t xml:space="preserve">If, on an interest determination date, the value of the basket is below it´s initial value no coupon will be paid on the next interest payment day. </t>
  </si>
  <si>
    <t xml:space="preserve">If the underlying asset has an negative performance, the note will pay the nominal amount on the redemption date. </t>
  </si>
  <si>
    <t xml:space="preserve">If the best performing basket has an negative performance, the note will pay the nominal amount on the redemption date. </t>
  </si>
  <si>
    <t>If the basket performance is within a predefined interval, the note will pay the nominal amount plus the nominal amount multiplied by the coupon, on the redemption date.</t>
  </si>
  <si>
    <t>The performance of the underlying asset is determined by a predefined strategy – turn of the month. Turn of the month means that the note is exposed to the underlying asset only during a predefined number of days per month. Currency fluctuations will also affect the return of the investment.</t>
  </si>
  <si>
    <t>The performance of the underlying asset is determined by a predefined strategy – turn of the month. Turn of the month means that the note is exposed to the underlying asset only during a predefined number of days per month.</t>
  </si>
  <si>
    <t>If the relative performance is positive, the note will pay the nominal amount plus the nominal amount multiplied by the relative performance multiplied by the participation ratio, on the redemption date.</t>
  </si>
  <si>
    <t xml:space="preserve">If the underlying asset has a positive performance, the note will pay the the nominal amount plus the higher of the highest lock-in level that has been reached, and the actual performance of the basket, on the redemption date. </t>
  </si>
  <si>
    <t xml:space="preserve">If the best performing underlying currency pair has an negative performance, the note will pay the nominal amount on the redemption date. </t>
  </si>
  <si>
    <t xml:space="preserve">On the redemption date, the note will pay the nominal amount plus the accumulated interest rate. </t>
  </si>
  <si>
    <t>If the relative difference between the underlying interest rates is higher than the predefined interval, the note will pay the nominal amount plus the nominal amount multiplied by the participation ratio multiplied by the sum of the performance cap minus the performance floor, on the redemption date.</t>
  </si>
  <si>
    <t xml:space="preserve">The note will pay the nominal amount and the accumulated interest rate, on the redemption date., </t>
  </si>
  <si>
    <t xml:space="preserve">The note will pay the nominal amount on the redemption date. </t>
  </si>
  <si>
    <t xml:space="preserve">If, on an interest determination date, the reference rate is lower than the performance floor, or higher than the performance cap, the note will pay the reference rate multiplied by the nominal amount on the next interest payment date. </t>
  </si>
  <si>
    <t xml:space="preserve">If, on a valuation date, the underlying asset is lower than the yearly performance floor or higher than the yearly performance cap, no coupon will be credited for that period. </t>
  </si>
  <si>
    <t xml:space="preserve">If, on the valuation date, the relative difference between the underlying interest rates is within a predefined interval, the note will pay the nominal amount multiplied by the participation ratio multiplied by the relative difference between the underlying assets. </t>
  </si>
  <si>
    <t>If the underlying asset has a positive performance, the note will pay the nominal amount plus the nominal amount multiplied by the performance of the underlying asset multiplied by the participation ratio, on the redemption date.</t>
  </si>
  <si>
    <t>The performance of the basket is determined by a predefined strategy – turn of the month. Turn of the month means that the note is exposed to the basket only during a predefined number of days per month.</t>
  </si>
  <si>
    <t xml:space="preserve">If the underlying asset has a positive performance, the note will pay the nominal amount plus the higher of the highest lock-in level that has been reached, and the actual performance of the underlying asset, on the redemption date. </t>
  </si>
  <si>
    <t>If, on an interest determination date, the relative difference between the underlying interest rates is within a predefined interval, the note will pay the nominal amount multiplied by the participation ratio multiplied by the relative difference between the underlying assets on the next floating interest payment date.</t>
  </si>
  <si>
    <t>If, on an interest determination date, the relative difference between the underlying interest rates is higher than a predefined interval, the note will pay the maximum coupon on the next interest payment date.</t>
  </si>
  <si>
    <t xml:space="preserve">The note will pay the nominal amount plus the accumulated interest rate on the redemption date. </t>
  </si>
  <si>
    <t>If, on an interest determination date, the relative difference between the underlying interest rates is above the predefined barrier, the note will pay the nominal amount multiplied by the fixed interest multiplied by the number of valuation dates where the relative difference is above the the barrier divided by 12, on the next  the participation ratio multiplied by the relative difference between the underlying assets on the next floating interest payment date.</t>
  </si>
  <si>
    <t xml:space="preserve">If the basket performance is higher than the predefined interval, the note will pay the nominal amount plus the nominal amount multiplied by the performance of the basket multiplied by the participation ratio, on the redemption date. </t>
  </si>
  <si>
    <t xml:space="preserve">If the relative performance is negative the note will pay the nominal amount on the redemption date. </t>
  </si>
  <si>
    <t xml:space="preserve">If the underlying asset has a negative performance, the note will pay the higher of the nominal amount plus the highest lock-in level that has been reached, and the nominal amount, on the redemption date. </t>
  </si>
  <si>
    <t xml:space="preserve">If, on the valuation date, the relative difference is lower than the predefined interval, the note will pay the nominal amount on the redemption date. </t>
  </si>
  <si>
    <t>If, on the valuation date, the relative difference between the underlying interest rates is higher than a predefined interval, the note will pay the maximum coupon on the next floating copuon payment date.</t>
  </si>
  <si>
    <t xml:space="preserve">If the underlying asset has a negative performance, the note will pay the higher of the nominal amount and the nominal amount plus the highest lock-in level that has been reached, on the redemption date. </t>
  </si>
  <si>
    <t>If, on an interest determination date, the relative difference between the underlying interest rates is higher than a predefined interval, the note will pay the maximum coupon on the next floating interest payment date.</t>
  </si>
  <si>
    <t>If, on an interest determination date, the relative difference between the underlying interest rates is lower than a predefined interval, no interest will be paid on the next interest payment date.</t>
  </si>
  <si>
    <t>If, on an interest determination date, the relative difference between the underlying interest rates is lower than a predefined interval, no floating interest will be paid on the next floating interest payment date.</t>
  </si>
  <si>
    <t>Key figures:</t>
  </si>
  <si>
    <t>Performance cap</t>
  </si>
  <si>
    <t>Reference rate</t>
  </si>
  <si>
    <t>Fixed interest per annum</t>
  </si>
  <si>
    <t>Interest margin per annum</t>
  </si>
  <si>
    <t>Coupon per annum</t>
  </si>
  <si>
    <t>Fixed interest rate per annum</t>
  </si>
  <si>
    <t>Currency exposure</t>
  </si>
  <si>
    <t>Number of fixed underlying assets</t>
  </si>
  <si>
    <t>Interest determination date(s)</t>
  </si>
  <si>
    <t>Lock-in level(s)</t>
  </si>
  <si>
    <t>Performance floor</t>
  </si>
  <si>
    <t>Interest determination period(s)</t>
  </si>
  <si>
    <t>Performance floor per annum</t>
  </si>
  <si>
    <t>Fixed interest payment date(s)</t>
  </si>
  <si>
    <t>Maximum coupon</t>
  </si>
  <si>
    <t>Fixed performance for best performing underlying assets</t>
  </si>
  <si>
    <t>Performance cap per annum</t>
  </si>
  <si>
    <t>Floating interest payment date(s)</t>
  </si>
  <si>
    <t>FX valuation start date</t>
  </si>
  <si>
    <t>FX valuation end date</t>
  </si>
  <si>
    <t>Interval/Level?</t>
  </si>
  <si>
    <t>SE0005136918</t>
  </si>
  <si>
    <t>NO0010730500</t>
  </si>
  <si>
    <t>DK0030380761</t>
  </si>
  <si>
    <t>SE0005224169</t>
  </si>
  <si>
    <t>FI4000069414</t>
  </si>
  <si>
    <t>SE0005936002</t>
  </si>
  <si>
    <t>DK0030362009</t>
  </si>
  <si>
    <t>SE0005136926</t>
  </si>
  <si>
    <t>SE0005730983</t>
  </si>
  <si>
    <t>SE0005649944</t>
  </si>
  <si>
    <t>SE0005126323</t>
  </si>
  <si>
    <t>SE0006599486</t>
  </si>
  <si>
    <t>NO0010730518</t>
  </si>
  <si>
    <t>NO0010744667</t>
  </si>
  <si>
    <t>SE0005991304</t>
  </si>
  <si>
    <t>SE0005991213</t>
  </si>
  <si>
    <t>SE0005991031</t>
  </si>
  <si>
    <t>SE0005768785</t>
  </si>
  <si>
    <t>SE0005768728</t>
  </si>
  <si>
    <t>SE0005768595</t>
  </si>
  <si>
    <t>SE0005650538</t>
  </si>
  <si>
    <t>SE0005650140</t>
  </si>
  <si>
    <t>SE0005472180</t>
  </si>
  <si>
    <t>SE0005472149</t>
  </si>
  <si>
    <t>SE0005466265</t>
  </si>
  <si>
    <t>SE0005338167</t>
  </si>
  <si>
    <t>FI4000176961</t>
  </si>
  <si>
    <t>DK0030344379</t>
  </si>
  <si>
    <t>FI4000149877</t>
  </si>
  <si>
    <t>SE0004899896</t>
  </si>
  <si>
    <t>SE0005216892</t>
  </si>
  <si>
    <t>SE0005216926</t>
  </si>
  <si>
    <t>DK0030359567</t>
  </si>
  <si>
    <t>SE0004898534</t>
  </si>
  <si>
    <t>FI4000090642</t>
  </si>
  <si>
    <t>DK0030362439</t>
  </si>
  <si>
    <t>SE0005650157</t>
  </si>
  <si>
    <t>SE0008587406</t>
  </si>
  <si>
    <t>SE0008587414</t>
  </si>
  <si>
    <t>Non-capital protected 1</t>
  </si>
  <si>
    <t>Non-capital protected 2</t>
  </si>
  <si>
    <t>Non-capital protected 3</t>
  </si>
  <si>
    <t>Non-capital protected 4</t>
  </si>
  <si>
    <t>Non-capital protected 5</t>
  </si>
  <si>
    <t>Non-capital protected 6</t>
  </si>
  <si>
    <t>Non-capital protected 7</t>
  </si>
  <si>
    <t>Non-capital protected 8</t>
  </si>
  <si>
    <t>Non-capital protected 9</t>
  </si>
  <si>
    <t>Non-capital protected 10</t>
  </si>
  <si>
    <t>Non-capital protected 11</t>
  </si>
  <si>
    <t>Non-capital protected 12</t>
  </si>
  <si>
    <t>Non-capital protected 13</t>
  </si>
  <si>
    <t>Non-capital protected 14</t>
  </si>
  <si>
    <t>Non-capital protected 15</t>
  </si>
  <si>
    <t>Non-capital protected 16</t>
  </si>
  <si>
    <t>Non-capital protected 17</t>
  </si>
  <si>
    <t>Non-capital protected 18</t>
  </si>
  <si>
    <t>Non-capital protected 19</t>
  </si>
  <si>
    <t>Non-capital protected 20</t>
  </si>
  <si>
    <t>Non-capital protected 21</t>
  </si>
  <si>
    <t>Non-capital protected 22</t>
  </si>
  <si>
    <t>Non-capital protected 23</t>
  </si>
  <si>
    <t>Non-capital protected 24</t>
  </si>
  <si>
    <t>Non-capital protected 25</t>
  </si>
  <si>
    <t>Non-capital protected 26</t>
  </si>
  <si>
    <t>Non-capital protected 27</t>
  </si>
  <si>
    <t>Non-capital protected 28</t>
  </si>
  <si>
    <t>Non-capital protected 29</t>
  </si>
  <si>
    <t>Non-capital protected 30</t>
  </si>
  <si>
    <t>Non-capital protected 31</t>
  </si>
  <si>
    <t>Non-capital protected 32</t>
  </si>
  <si>
    <t>Non-capital protected 33</t>
  </si>
  <si>
    <t>Non-capital protected 34</t>
  </si>
  <si>
    <t>Non-capital protected 35</t>
  </si>
  <si>
    <t>Non-capital protected 36</t>
  </si>
  <si>
    <t>Non-capital protected 37</t>
  </si>
  <si>
    <t>Non-capital protected 38</t>
  </si>
  <si>
    <t>Non-capital protected 39</t>
  </si>
  <si>
    <t>Non-capital protected 40</t>
  </si>
  <si>
    <t>Non-capital protected 41</t>
  </si>
  <si>
    <t>Multi underlying, worst of</t>
  </si>
  <si>
    <t xml:space="preserve">Multi underlying </t>
  </si>
  <si>
    <t>Single underlying FX (Currency pair)</t>
  </si>
  <si>
    <t>Single underlying TOM + Interest rate</t>
  </si>
  <si>
    <t xml:space="preserve">Single underlying TOM </t>
  </si>
  <si>
    <t>Multi underlying, relative difference between two assets</t>
  </si>
  <si>
    <t>Single underlying + Underlying FX</t>
  </si>
  <si>
    <t>Floating coupon (guaranteed)</t>
  </si>
  <si>
    <t>2 Participation ratios</t>
  </si>
  <si>
    <r>
      <t xml:space="preserve">Fixed coupon </t>
    </r>
    <r>
      <rPr>
        <i/>
        <sz val="11"/>
        <rFont val="Calibri"/>
        <family val="2"/>
      </rPr>
      <t>(guaranteed)</t>
    </r>
  </si>
  <si>
    <r>
      <t>Fixed coupon</t>
    </r>
    <r>
      <rPr>
        <i/>
        <sz val="11"/>
        <rFont val="Calibri"/>
        <family val="2"/>
      </rPr>
      <t>(guaranteed)</t>
    </r>
  </si>
  <si>
    <t>Floating coupon</t>
  </si>
  <si>
    <t>Fixed coupon (guaranteed)</t>
  </si>
  <si>
    <t>Coupon 1 and coupon 2</t>
  </si>
  <si>
    <t>Hybrid equity and interest rate</t>
  </si>
  <si>
    <t>TRP</t>
  </si>
  <si>
    <t>European DIP Barrier</t>
  </si>
  <si>
    <t>All amount invested lost at negative performance (European barrier)</t>
  </si>
  <si>
    <t>Twin win</t>
  </si>
  <si>
    <t>American DIP Barrier</t>
  </si>
  <si>
    <t>European DIP barrier</t>
  </si>
  <si>
    <t>Lock-in</t>
  </si>
  <si>
    <t>American Barrier</t>
  </si>
  <si>
    <t>European barrier</t>
  </si>
  <si>
    <t>Floor and cap -CMS spread</t>
  </si>
  <si>
    <t xml:space="preserve">Quanto </t>
  </si>
  <si>
    <t>Level 5</t>
  </si>
  <si>
    <t>FixedRedemption=0</t>
  </si>
  <si>
    <t>DownsidePut</t>
  </si>
  <si>
    <t>TwinWin</t>
  </si>
  <si>
    <t>ADIP</t>
  </si>
  <si>
    <t>Unmapped</t>
  </si>
  <si>
    <t>FloatingPayment</t>
  </si>
  <si>
    <t>FixedCoupon</t>
  </si>
  <si>
    <t>DigitalObs Lock-In</t>
  </si>
  <si>
    <t>FloatingCoupon</t>
  </si>
  <si>
    <t>FixedCoupon ParticipationxCoupon</t>
  </si>
  <si>
    <t>FixedCoupon Interest</t>
  </si>
  <si>
    <t>Best-of Coupon/Participation IF ST &gt; Strike</t>
  </si>
  <si>
    <t>Call2</t>
  </si>
  <si>
    <t>FinalFixing</t>
  </si>
  <si>
    <t>FinalFixing, FloatingFixings</t>
  </si>
  <si>
    <t>FinalFixing, BarrierEvent</t>
  </si>
  <si>
    <t>FinalFixing, Lock-In-Events</t>
  </si>
  <si>
    <t>FinalFixing, FloatingFixing, BarrierEvent</t>
  </si>
  <si>
    <t xml:space="preserve">FinalFixing, UndObsFixings, </t>
  </si>
  <si>
    <t>NCPFixing31</t>
  </si>
  <si>
    <t>1 c according to the MiFID (legal form?)</t>
  </si>
  <si>
    <t>Outperformance Bonus Certificate</t>
  </si>
  <si>
    <t>Warrant</t>
  </si>
  <si>
    <t>Bonus Certificate</t>
  </si>
  <si>
    <t>Outperformance Certificate</t>
  </si>
  <si>
    <t>Capped Outperformance Certificate</t>
  </si>
  <si>
    <t>Capped Bonus Certificate</t>
  </si>
  <si>
    <t>Twin-Win Certificate</t>
  </si>
  <si>
    <t>Spread Warrant</t>
  </si>
  <si>
    <t>Twin-Win Certificates</t>
  </si>
  <si>
    <t>Outperformance Certificates</t>
  </si>
  <si>
    <t xml:space="preserve">The objective is to invest in a note that will benefit from a rising market. </t>
  </si>
  <si>
    <t xml:space="preserve">The objective is to invest in a note that will give a much higher return than the underlying asset, when the price of the underlying asset is rising. </t>
  </si>
  <si>
    <t xml:space="preserve">The objective is to invest in a note that, at the minimum, will pay a fixed return when the price of the underlying asset is rising. </t>
  </si>
  <si>
    <t>The objective is to invest in a note where you believe that the price of the underlying asset will rise, but not over a certain level (performance cap multiplied by participation ratio).</t>
  </si>
  <si>
    <t xml:space="preserve">The objective is to invest in a note with floating interest payments. </t>
  </si>
  <si>
    <t>The objective is to invest in a note where you believe that the performance of the underlying asset will be within a predefined interval.</t>
  </si>
  <si>
    <t xml:space="preserve">The objective is to invest in a note that, at the minimum, will pay a fixed return if the price of the underlying asset never has been lower than a predefined level during the lifetime if the investment. </t>
  </si>
  <si>
    <t>The objective is to invest in a note that, at the minimum, will pay a fixed return if the price of the worst performing underlying asset is higher than a predefined level on the valuation date.</t>
  </si>
  <si>
    <t xml:space="preserve">The objective is to invest in a note with fixed interest payments. </t>
  </si>
  <si>
    <t xml:space="preserve">The objective is to invest in a note that will give a higher return than the underlying asset, when the price of the underlying asset is rising, and at the same time secure positive performance at certain levels. </t>
  </si>
  <si>
    <t>The objective is to invest in a note that will benefit from the relative performance between two underlying assets.</t>
  </si>
  <si>
    <t>The objective is to invest in a note that, at the minimum, will pay a fixed return if the price of the underlying asset is higher than a predefined level on the valuation date.</t>
  </si>
  <si>
    <t xml:space="preserve">The objective is to invest in a note that will give fixed interest payments and a higher return than the underlying asset, when the price of the underlying asset is rising. </t>
  </si>
  <si>
    <t>The objective is to invest in a note that will pay a fixed return if the price of the underlying asset is above a predefined level.</t>
  </si>
  <si>
    <t xml:space="preserve">The objective is to benefit from the turn of the month strategy and to benefit from rising interest rates. </t>
  </si>
  <si>
    <t xml:space="preserve">The objective is to invest in a note that will give a higher return than the underlying asset, when the price of the underlying asset is rising. </t>
  </si>
  <si>
    <t xml:space="preserve">The objective is to benefit from the turn of the month strategy and to invest in a note that will give a higher return than the underlying asset, when the price of the underlying asset is rising. </t>
  </si>
  <si>
    <t xml:space="preserve">The objective is to invest in a note that will pay a coupon. </t>
  </si>
  <si>
    <t xml:space="preserve">The objective is to invest in a note where you believe that the price of the underlying asset will rise, but not over a certain level (performance cap multiplied by participation ratio). And that a foreign currency will strengthen against a local currency. </t>
  </si>
  <si>
    <t xml:space="preserve">The return of the investment depends on the performance of a basket of underlying assets during the lifetime of the investment. </t>
  </si>
  <si>
    <t xml:space="preserve">The return of the investment depends on the performance of an underlying asset during the lifetime of the investment. </t>
  </si>
  <si>
    <t>The return of the investment depends on the performance of the underlying assets during the lifetime of the investment.</t>
  </si>
  <si>
    <t>The return of the investment depends both on the performance of the underlying asset and on currency fluctuations in the currency exposure during the lifetime of the investment.</t>
  </si>
  <si>
    <t>If, on the valuation date, the underlying asset has had a positive performance the note will pay the nominal amount plus the nominal amount multiplied by the performance of the underlying asset multiplied by the participation ratio, on the redemption date.</t>
  </si>
  <si>
    <t>If, on the valuation date, the basket has had a positive performance the note will pay the nominal amount multiplied by the performance of underlying basket multiplied by the participation ratio, on the redemption date.</t>
  </si>
  <si>
    <t>If, on the valuation date, the underlying asset has had a positive performance the note will pay the nominal amount plus the nominal amount multiplied by the highest of (i) the performance of the underlying asset and (ii) the coupon, on the redemption date.</t>
  </si>
  <si>
    <t>If, on the valuation date, the underlying asset has had a positive performance the note will pay the nominal amount plus the nominal amount multiplied by the performance of underlying asset multiplied by the participation ratio, on the redemption date.</t>
  </si>
  <si>
    <t>If, on the valuation date, the underlying asset has had a positive performance the note will pay the nominal amount plus the nominal amount multiplied by the performance of the underlying asset multiplied by the participation ratio, on the redemption date. When calculating the performance, the performance has a cap.</t>
  </si>
  <si>
    <t>The note will pay a floating interest (interest margin plus reference rate), calculated on the nominal amount, on each interest payment date.</t>
  </si>
  <si>
    <t>If, on the valuation date, the underlying asset has had a positive performance the note will pay the nominal amount plus the nominal amount multiplied by the performance of the underlying asset multiplied by participation ratio 1, on the redemption date.</t>
  </si>
  <si>
    <t>If, on the valuation date, the underlying asset has had a positive performance the note will pay the nominal amount plus the nominal amount multiplied by the performance of the underlying asset multiplied by the participation ratio, on the redemption date. Currency fluctuations will also affect the return of the investment.</t>
  </si>
  <si>
    <t>If, on the valuation date, the basket has had a positive performance the note will pay the nominal amount plus the nominal amount multiplied by the performance of the basket multiplied by the participation ratio, on the redemption date.</t>
  </si>
  <si>
    <t>If the price of the underlying asset, from the initial valuation date to, and including, the end valuation date, never has been lower than the predefined barrier, the note will pay the nominal amount plus the nominal amount multiplied by the highest of (i) the performance of the underlying asset and (ii) the coupon, on the redemption date.</t>
  </si>
  <si>
    <t xml:space="preserve">If, on the valuation date, the worst performing underlying asset is at or above the predefined barrier, the note will pay the nominal amount plus the nominal amount multiplied by the highest of (i) the performance of the basket and (ii) the coupon, on the redemption date. </t>
  </si>
  <si>
    <t>If, on the valuation date, the basket has had a positive performance the note will pay the nominal amount multiplied by the performance of the basket multiplied by the participation ratio, on the redemption date. When calculating the performance, the performance has a cap.</t>
  </si>
  <si>
    <t>If, on the valuation date, the underlying asset has had a positive performance the note will pay the nominal amount multiplied by the performance of underlying asset multiplied by the participation ratio, on the redemption date.</t>
  </si>
  <si>
    <t>If the basket has had a positive performance, the note will pay the nominal amount plus the nominal amount multiplied by the performance of the basket multiplied by the participation ratio, on the redemption date.</t>
  </si>
  <si>
    <t>If, on a valuation date, the performance of the basket has reached one of the lock-in levels, the return of the note will be locked at twice of the highest lock-in level that has been reached multiplied by the participation ratio.</t>
  </si>
  <si>
    <t>If, on the valuation date, underlying asset 1 is at or above the predefined barrier the note will pay the nominal amount plus the highest of (i) the nominal amount multiplied by the relative difference between the underlying assets multiplied by the participation ratio and (ii) zero, on the redemption date.</t>
  </si>
  <si>
    <t>If, on the valuation date, the price of the underlying asset is at or above the predefined barrier the note will pay the nominal amount plus the nominal amount multiplied by the highest of (i) the performance of the underlying asset multiplied by the participation ratio and (ii) the coupon, on the redemption date.</t>
  </si>
  <si>
    <t>If the underlying asset has had a positive performance, the note will pay the nominal amount plus the nominal amount multiplied by the performance of the underlying asset multiplied by the participation ratio, on the redemption date. When calculating the performance, the performance has a cap. Currency fluctuations will also affect the return of the investment.</t>
  </si>
  <si>
    <t>If, on the valuation date, the basket is at or above the predefined barrier the note will pay the nominal amount plus the nominal amount multiplied by the highest of (i) the performance of the basket and (ii) the coupon, on the redemption date.</t>
  </si>
  <si>
    <t>If, on the valuation date, the worst performing underlying asset is at or above the predefined barrier, the note will pay the nominal amount plus the nominal amount multiplied by the highest of (i) the performance of the basket multiplied by the participation ratio multiplied by currency fluctuations and (ii) the coupon, on the redemption date.</t>
  </si>
  <si>
    <t xml:space="preserve">If, on the valuation date, the worst performing underlying asset is at or above the predefined barrier, the note will pay the nominal amount plus the nominal amount multiplied by the highest of (i) the performance of the basket multiplied by the participation ratio and (ii) the coupon, on the redemption date. </t>
  </si>
  <si>
    <t>If, on the valuation date, the basket has had a positive performance the note will pay the nominal amount plus the nominal amount multiplied by the highest of (i) the performance of the underlying asset and (ii) the coupon on the redemption date.</t>
  </si>
  <si>
    <t>The note will pay a coupon (coupon multiplied by the performance of the underlying asset), calculated on the nominal amount, on each interest payment date.</t>
  </si>
  <si>
    <t>The note will pay a fixed interest, calculated on the adjusted nominal amount, on each interest payment date.</t>
  </si>
  <si>
    <t>If, on the valuation date, all underlying assets in the basket has had a positive performance the note will pay the nominal amount plus the nominal amount multiplied by the highest of (i) the performance of the basket and (ii) coupon 1, on the redemption date.</t>
  </si>
  <si>
    <t xml:space="preserve">If, on the valuation date, the underlying index has had a positive performance the note will pay the nominal amount plus the nominal amount multiplied by the performance of the underlying index multiplied by the participation ratio, on the redemption date. </t>
  </si>
  <si>
    <t>If the basket has a positive performance, the note will pay the nominal amount plus the nominal amount multiplied by the performance of the underlying basket multiplied by the participation ratio, on the redemption date. Currency fluctuations will also affect the return of the investment.</t>
  </si>
  <si>
    <t xml:space="preserve">The redemption amount will depend on the 10 Y EUR Rate and the 30 Y EUR Rate as observed on the valuation date. On the valuation date, the performance will be calculated as (i) the highest of zero or the difference between the performance cap and the 30 Y minus the 10 Y EUR Rate minus (ii) the highest of zero or the difference between the performance floor and the 30 Y minus the 10 Y EUR Rate, the sum of which is multiplied with the participation ratio. </t>
  </si>
  <si>
    <t xml:space="preserve">If the basket has a positive performance, the note will pay the nominal amount plus the nominal amount multiplied by the coupon plus the nominal amount multiplied by the performance of the basket multiplied, on the redemption date. </t>
  </si>
  <si>
    <t xml:space="preserve">If, on the valuation date, the underlying asset has had a positive performance the value of the note will be calculated in two steps. First as the nominal amount plus the nominal amount multiplied by the performance of the underlying asset multiplied by the participation ratio. When calculating the performance, the performance has a cap. In the second step, the total sum from the first step will be multiplied by the currency exchange rate changes. The sum of step two will be paid on the redemption date. </t>
  </si>
  <si>
    <t>On the redemption date, the note will pay the sum of the performance of underlying asset 1 multiplied by the participation ratio minus the performance of underlying asset 2, multiplied by the nominal amount plus the nominal amount.</t>
  </si>
  <si>
    <t xml:space="preserve">If, on the valuation date, the underlying asset has had a negative performance, but is at or above the predefined barrier, the note will pay the nominal amount on the redemption date. </t>
  </si>
  <si>
    <t>If, on the valuation date, the basket has had an unchanged or negative performance the whole amount invested will be lost.</t>
  </si>
  <si>
    <t xml:space="preserve">If, on the valuation date, the underlying asset has had a negative performance the note will pay the nominal amount reduced by the negative performance of the underlying asset on the redemption date. </t>
  </si>
  <si>
    <t xml:space="preserve">If, on the valuation date, the underlying asset has had a negative performance the note will pay the nominal amount reduced by the negative performance of the underlying asset, on the redemption date. </t>
  </si>
  <si>
    <t xml:space="preserve">If, on the valuation date, the worst performing underlying asset is at or above the predefined barrier, the note will pay the nominal amount on the redemption date. </t>
  </si>
  <si>
    <t xml:space="preserve">If, on the valuation date, the underlying asset has had a negative performance but is at or above the predefined barrier, the note will still have a positive return. The note will then pay the nominal amount plus the nominal amount multiplied by the absolute performance of the underlying asset multiplied by participation ratio 2, on the redemption date. </t>
  </si>
  <si>
    <t xml:space="preserve">If, on the valuation date, the underlying asset has had a negative performance but is at or above the predefined barrier, the note will pay the nominal amount on the redemption date. </t>
  </si>
  <si>
    <t xml:space="preserve">If, on the valuation date, the basket has had a negative performance but is at or above the predefined barrier, the note will pay the nominal amount on the redemption date. </t>
  </si>
  <si>
    <t>If the price of the underlying asset, from the initial valuation date to, and including, the end valuation date, has been lower than the predefined barrier, the note will pay the nominal amount plus the nominal amount multiplied by the performance of the underlying asset on the redemption date.</t>
  </si>
  <si>
    <t xml:space="preserve">If, on the valuation date, the worst performing underlying asset is below the barrier, the note will pay the nominal amount reduced by the negative performance of the worst performing underlying asset on the redemption date. </t>
  </si>
  <si>
    <t>If, on the valuation date, the basket has had a negative performance the whole amount invested will be lost.</t>
  </si>
  <si>
    <t>If, on the valuation date, the underlying asset has had a negative performance the whole amount invested will be lost.</t>
  </si>
  <si>
    <t xml:space="preserve">If the worst performing underlying asset has had a negative performance, but is at or above the predefined barrier on the valuation date, the note will pay the nominal amount on the redemption date. </t>
  </si>
  <si>
    <t xml:space="preserve">If, on the valuation date, the underlying asset has had a negative performance, but is at or above the predefined barrier on the valuation date, the note will pay the nominal amount on the redemption date. </t>
  </si>
  <si>
    <t xml:space="preserve">If, on the last valuation date, the worst performing underlying asset is at or above the predefined barrier, the note will pay the nominal amount plus the nominal amount multiplied by twice of the highest lock-in level that has been reached multiplied by the participation rate on the redemption date. If no lock-in level has been reached, the note will pay the nominal amount. </t>
  </si>
  <si>
    <t>If, on the valuation date, underlying asset 1 is below the barrier and the relative difference between the underlying assets is positive, the note will pay the nominal amount reduced by the negative performance of underlying asset 1 plus the relative difference between the underlying assets multiplied by the participation ratio multiplied by the nominal amount, on the redemption date.</t>
  </si>
  <si>
    <t>If the price of the worst performing underlying asset, from the initial valuation date to, and including, the end valuation date, never has been lower than the predefined barrier, the note will pay the nominal amount on the redemption date.</t>
  </si>
  <si>
    <t>If, on the valuation date, the price of the underlying asset is below the barrier, the note will pay the nominal amount reduced by the negative performance of the underlying asset on the redemption date.</t>
  </si>
  <si>
    <t>If the underlying asset has had a negative performance, but has never, from the initial valuation date to, and including, the end valuation date, had a price lower than the predefined barrier, the note will pay the nominal amount on the redemption date.</t>
  </si>
  <si>
    <t>If, on the valuation date, the basket is below the barrier, the note will pay the nominal amount reduced by the negative performance of the underlying basket on the redemption date.</t>
  </si>
  <si>
    <t xml:space="preserve">If, on the valuation date, the basket has had a negative performance the note will pay the nominal amount reduced by the negative performance of the underlying basket on the redemption date. </t>
  </si>
  <si>
    <t xml:space="preserve">If, on the valuation date, the underlying asset has had a positive performance the note will pay the nominal amount plus the nominal amount multiplied by the performance of the underlying asset, on the redemption date. </t>
  </si>
  <si>
    <t xml:space="preserve">If, on the valuation date, the basket has had a positive performance the note will pay the nominal amount plus the nominal amount multiplied by the performance of the basket, on the redemption date. </t>
  </si>
  <si>
    <t>If none of the underlying assets in the basket, from the initial valuation date to, and including, the end valuation date, has had a price lower than the predefined barrier, the note will pay the nominal amount on the redemption date.</t>
  </si>
  <si>
    <t xml:space="preserve">If, on the valuation date, the worst performing underlying asset has had a negative performance but is at or above the predefined barrier, the note will pay the nominal amount plus the nominal amount multiplied by coupon 2 on the redemption date. </t>
  </si>
  <si>
    <t xml:space="preserve">The performance of the underlying index is determined by a predefined strategy – turn of the month. Turn of the month means that the note is exposed to each of the underlying index only during a predefined number of days per month. Other times the note is invested in short-term interest rates. </t>
  </si>
  <si>
    <t>If the basket has an unfavourable performance, the note will pay the nominal amount minus the nominal amount multiplied by the performance of the basket, on the redemption date. The negative basket performance has a maximum loss. Currency fluctuations will also affect the return of the investment.</t>
  </si>
  <si>
    <t>If the relative difference between the 30 Y EUR Rate and the 10 Y EUR Rate is at or above the performance cap, the note will pay the nominal amount plus the nominal amount multiplied by the target redemption amount, on the redemption date.</t>
  </si>
  <si>
    <t xml:space="preserve">If the basket has an negative performance, the note will pay the nominal amount multiplied by the coupon plus the nominal amount reduced by the negative performance of the basket, on the redemption date. </t>
  </si>
  <si>
    <t>If the underlying asset has an unfavourable performance, the note will pay the nominal amount minus the nominal amount multiplied by the performance of the underlying asset, on the redemption date. The negative performance of the underlying asset has a maximum loss. Currency fluctuations will also affect the return of the investment.</t>
  </si>
  <si>
    <t xml:space="preserve">If the worst performing underlying asset, from the initial valuation date to, and including, the end valuation date, never has been lower than the predefined barrier, the note will pay the nominal amount on the redemption date. </t>
  </si>
  <si>
    <t xml:space="preserve">If, on the valuation date, the underlying asset has had a negative performance the note will pay the nominal amount reduced by the negative performance of the underlying asset multiplied by the currency exchange rate changes, on the redemption date. </t>
  </si>
  <si>
    <t xml:space="preserve">If the underlying asset is below the barrier on the valuation date, the note will pay the nominal amount reduced by the negative performance of the underlying asset on the redemption date. </t>
  </si>
  <si>
    <t xml:space="preserve">If the basket is below the barrier on the valuation date, the note will pay the nominal amount reduced by the negative performance of the underlying basket on the redemption date. </t>
  </si>
  <si>
    <t xml:space="preserve">If the worst performing underlying asset is below the barrier on the valuation date, the note will pay the nominal amount reduced by the negative performance of the worst performing underlying asset on the redemption date. </t>
  </si>
  <si>
    <t xml:space="preserve">If the underlying asset is below the barrier on the valuation date, the note will pay the nominal amount reduced by the negative performance minus the difference between the nominal amount and the barrier multiplied by participation ratio 2 on the redemption date. </t>
  </si>
  <si>
    <t>If, on the last valuation date, the worst performing asset is below the predefined barrier, the note will pay the nominal amount reduced by the negative performance of the worst performing underlying asset plus the nominal amount multiplied by twice of the highest lock-in level that has been reached multiplied by the participation rate, on the redemption date.</t>
  </si>
  <si>
    <t>If, on the valuation date, underlying asset 1 is below the barrier and the relative difference between the underlying assets is negative, the note will pay the nominal amount reduced by the performance of underlying asset 1 on the redemption date.</t>
  </si>
  <si>
    <t>If the price of the worst performing underlying asset, from the initial valuation date to, and including, the end valuation date, has been lower than the predefined barrier, the note will pay the nominal amount plus the nominal amount multiplied by the performance of that underlying asset on the redemption date.</t>
  </si>
  <si>
    <t xml:space="preserve">If the price of the worst performing underlying asset, from the initial valuation date to, and including, the end valuation date, has been lower than the predefined barrier and the worst performing asset has had a positive performance on the final valuation date, the note will pay the nominal amount on the redemption date. </t>
  </si>
  <si>
    <t xml:space="preserve">If the underlying asset has had a negative performance, and has, from the initial valuation date to, and including, the end valuation date, had a price lower than the predefined barrier, the note will pay the nominal amount reduced by the negative performance of the underlying asset on the redemption date. </t>
  </si>
  <si>
    <t>If, on the valuation date, the underlying asset has had a negative performance the note will pay the nominal amount reduced by the negative performance of the underlying asset on the redemption date.</t>
  </si>
  <si>
    <t>If, on the valuation date, the underlying basket has had a negative performance the note will pay the nominal amount reduced by the negative performance of the basket on the redemption date.</t>
  </si>
  <si>
    <t>If one or more of the underlying assets in the basket, from the initial valuation date to, and including, the end valuation date, has been lower than the predefined barrier, the nominal amount will be reduced by 1 divided by the number of underlying assets in the basket for each underlying asset that has been lower than the barrier. The note will pay the adjusted nominal amount on the redemption date.</t>
  </si>
  <si>
    <t>If, on the valuation date, the underlying index has had a negative performance the note will pay the nominal amount reduced by the negative performance of the underlying assets on the redemption date.</t>
  </si>
  <si>
    <t>If the underlying asset has a negative performance, the note will pay the nominal amount reduced by the negative performance of the underlying asset, on the redemption date.</t>
  </si>
  <si>
    <t>If the relative difference is below the performance cap, the note will pay the nominal amount plus the nominal amount multiplied by the target redemption amount minus the performance, on the redemption date.</t>
  </si>
  <si>
    <t>If the worst performing underlying asset, from the initial valuation date to, and including, the end valuation date, has been lower than the predefined barrier, there are two possible scenarios: i) On the end valuation date, the worst performing asset has had a positive performance. The note will then pay the nominal amount on the redemption date. ii) On the end valuation date, the worst performing underlying asset has had a negative performance. The note will then pay the nominal amount reduced by the negative performance of the worst performing underlying asset, on the redemption date.</t>
  </si>
  <si>
    <t>Upside</t>
  </si>
  <si>
    <t>Downside</t>
  </si>
  <si>
    <t>Nominal amount</t>
  </si>
  <si>
    <t xml:space="preserve">Participation ratio 1 </t>
  </si>
  <si>
    <t xml:space="preserve">Participation ratio </t>
  </si>
  <si>
    <t>Participation ratio 1</t>
  </si>
  <si>
    <t>Adjusted nominal amount</t>
  </si>
  <si>
    <t>Coupon 1</t>
  </si>
  <si>
    <t>Participation ratio 2</t>
  </si>
  <si>
    <t>Coupon 2</t>
  </si>
  <si>
    <t>Maximum loss</t>
  </si>
  <si>
    <t>Underlying asset 1</t>
  </si>
  <si>
    <t>Underlying asset 2</t>
  </si>
  <si>
    <t>End valuation date(s)</t>
  </si>
  <si>
    <t>Target redemption amount</t>
  </si>
  <si>
    <t>SE0005136967</t>
  </si>
  <si>
    <t>XS0953294203</t>
  </si>
  <si>
    <t>SE0004873461</t>
  </si>
  <si>
    <t>SE0004545648</t>
  </si>
  <si>
    <t xml:space="preserve">SE0006599684 </t>
  </si>
  <si>
    <t>XS1283654785</t>
  </si>
  <si>
    <t>SE0005990975</t>
  </si>
  <si>
    <t>SE0005650488</t>
  </si>
  <si>
    <t>XS1377459257</t>
  </si>
  <si>
    <t>XS1405113744</t>
  </si>
  <si>
    <t>XS0994742624</t>
  </si>
  <si>
    <t>XS0757051155</t>
  </si>
  <si>
    <t>SE0006599569</t>
  </si>
  <si>
    <t>SE0005650462</t>
  </si>
  <si>
    <t>SE0005281789</t>
  </si>
  <si>
    <t>FI4000090766</t>
  </si>
  <si>
    <t>FI4000041116</t>
  </si>
  <si>
    <t>Minimum redemption 1</t>
  </si>
  <si>
    <t>Minimum redemption 2</t>
  </si>
  <si>
    <t>Minimum redemption 3</t>
  </si>
  <si>
    <t>Minimum redemption 4</t>
  </si>
  <si>
    <t>Minimum redemption 5</t>
  </si>
  <si>
    <t>Minimum redemption 6</t>
  </si>
  <si>
    <t>Minimum redemption 7</t>
  </si>
  <si>
    <t>Minimum redemption 8</t>
  </si>
  <si>
    <t>Minimum redemption 9</t>
  </si>
  <si>
    <t>Minimum redemption 10</t>
  </si>
  <si>
    <t>Minimum redemption 11</t>
  </si>
  <si>
    <t>Minimum redemption 12</t>
  </si>
  <si>
    <t>Minimum redemption 13</t>
  </si>
  <si>
    <t>Minimum redemption 14</t>
  </si>
  <si>
    <t>Minimum redemption 15</t>
  </si>
  <si>
    <t>Minimum redemption 16</t>
  </si>
  <si>
    <t>Minimum redemption 17</t>
  </si>
  <si>
    <t xml:space="preserve">Minimum redemption 18 </t>
  </si>
  <si>
    <t>Single underlying FX (one currency pair)</t>
  </si>
  <si>
    <t>Guaranteed fixed coupon</t>
  </si>
  <si>
    <t>Strike = 90 %</t>
  </si>
  <si>
    <t>This is a partly capital protected note with more than one underlying assets in a basket. The positive return is affected by currency fluctuations.</t>
  </si>
  <si>
    <t>This is a partly capital protected note with one underlying asset. The performance of the underlying asset has a cap.</t>
  </si>
  <si>
    <t>This is a partly capital protected note with one underlying asset. The performance of the underlying asset is determined by a predefined strategy – turn of the month. Turn of the month means that the note is exposed to the underlying asset only during a predefined number of days per month. Return is calculated as nominal amount + (nominal amount x performance of the underlying asset x participation ratio).</t>
  </si>
  <si>
    <t xml:space="preserve">This is a partly capital protected note with one underlying asset. The performance of the underlying asset is determined by a predefined strategy – turn of the month. Turn of the month means that the note is exposed to the underlying asset only during a predefined number of days per month. On each interest payment date, the note will pay a fixed coupon, calculated on the nominal amount. </t>
  </si>
  <si>
    <r>
      <t>This is a partly capital protected note with one underlying asset.</t>
    </r>
    <r>
      <rPr>
        <sz val="11"/>
        <color rgb="FFFF0000"/>
        <rFont val="Calibri"/>
        <family val="2"/>
      </rPr>
      <t xml:space="preserve"> </t>
    </r>
  </si>
  <si>
    <t xml:space="preserve">This is a partly capital protected note with more than one underlying asset. </t>
  </si>
  <si>
    <t>This is a partly capital protected note with more than one underlying asset. Strike = 90 %. The positive return is affected by currency fluctuations.</t>
  </si>
  <si>
    <t>This is a partly capital protected note with one underlying asset. The performance of the underlying asset is determined by a predefined strategy – turn of the month. Turn of the month means that the note is exposed to the underlying asset only during a predefined number of days per month. Return is calculated as minimum redemption amount + (nominal amount x performance of the underlying asset x participation ratio).</t>
  </si>
  <si>
    <t xml:space="preserve">This is a partly capital protected note with one underlying asset. </t>
  </si>
  <si>
    <t xml:space="preserve">This is a partly capital protected note with more than one underlying asset in a basket. The performance of the underlying basket has a cap. </t>
  </si>
  <si>
    <r>
      <t>This is a partly capital protected note with one underlying ass</t>
    </r>
    <r>
      <rPr>
        <sz val="11"/>
        <rFont val="Calibri"/>
        <family val="2"/>
      </rPr>
      <t xml:space="preserve">et. If the underlying asset has a positive performance, the note will pay the nominal amount plus the nominal amount multiplied by the performance of the underlying asset multiplied by the participation ratio, on the redemption date. 
If the underlying asset has an unfavourable performance, the note will pay the highest of the minimum redemption amount, and the nominal amount reduced by the negative performance of the underlying asset, on the redemption date. 
</t>
    </r>
  </si>
  <si>
    <t xml:space="preserve">This is a partly capital protected note linked to the relative difference between two underlying assets. The note will pay a floating coupon, calculated as an interest rate spread. The interest rate spread has a floor and a cap. On the redemption date, the note will pay the minimum redemption amount. </t>
  </si>
  <si>
    <r>
      <t>This is a partly capi</t>
    </r>
    <r>
      <rPr>
        <sz val="11"/>
        <rFont val="Calibri"/>
        <family val="2"/>
      </rPr>
      <t>tal protected note with one underlying asset. The positive return is affected by currency fluctuations.</t>
    </r>
  </si>
  <si>
    <t xml:space="preserve">This is a partly capital protected note with more than one underlying asset. Strike = 90 %. </t>
  </si>
  <si>
    <t>This is a partly capital protected note with one underlying asset. Strike = 90 %. The positive return is affected by currency fluctuations.</t>
  </si>
  <si>
    <t xml:space="preserve">This is a partly capital protected note with one underlying asset (currency pair = basket short). The performance of the underlying asset has a cap. </t>
  </si>
  <si>
    <t xml:space="preserve">This is a partly capital protected note with one underlying asset. If the underlying asset has a positive performance, the note will pay the nominal amount plus the nominal amount multiplied by the performance of the underlying asset multiplied by the participation ratio, on the redemption date. 
If the underlying asset has an unfavourable performance, the note will pay the nominal amount reduced by 50 percentage of the negative performance of the underlying asset, on the redemption date. 
</t>
  </si>
  <si>
    <t>FixedRedemption</t>
  </si>
  <si>
    <t>Put1</t>
  </si>
  <si>
    <t>Put2</t>
  </si>
  <si>
    <t xml:space="preserve">The objective is to benefit from a rising market, and at the same time have the protection of getting back the minimum redemption amount if the market is falling. </t>
  </si>
  <si>
    <t xml:space="preserve">The objective is to invest in a note that will pay fixed coupons, benefit from a rising market and at the same time have the protection of getting back the minimum redemption amount if the market is falling. </t>
  </si>
  <si>
    <t xml:space="preserve">The objective is to benefit from the relative difference between two underlying assets, and at the same time have the protection of getting back the minimum redemption amount if the market is falling. </t>
  </si>
  <si>
    <r>
      <t xml:space="preserve">The return of the investment depends on the performance of the underlying asset </t>
    </r>
    <r>
      <rPr>
        <strike/>
        <sz val="11"/>
        <color rgb="FFFF0000"/>
        <rFont val="Calibri"/>
        <family val="2"/>
      </rPr>
      <t xml:space="preserve">an underlying assets </t>
    </r>
    <r>
      <rPr>
        <sz val="11"/>
        <color rgb="FFFF0000"/>
        <rFont val="Calibri"/>
        <family val="2"/>
      </rPr>
      <t>during the lifetime of the investment.</t>
    </r>
  </si>
  <si>
    <t>If the basket has had a positive performance, the note will pay the minimum redemption amount plus the nominal amount multiplied by the performance of the basket multiplied by the participation ratio, on the redemption date. Currency fluctuations will also affect the return of the investment.</t>
  </si>
  <si>
    <t>If the underlying asset has had a positive performance, the note will pay the minimum redemption amount plus the nominal amount multiplied by the performance of the underlying asset multiplied by the participation ratio, on the redemption date. When calculating the performance, the performance has had a cap.</t>
  </si>
  <si>
    <t xml:space="preserve">If the underlying asset has had a positive performance, the note will pay the nominal amount plus the nominal amount multiplied by the performance of the underlying asset multiplied by the participation ratio, on the redemption date. </t>
  </si>
  <si>
    <t>The note will pay a fixed interest, calculated on the nominal amount, on every interest payment date.</t>
  </si>
  <si>
    <t xml:space="preserve">If the underlying asset has had a positive performance, the note will pay the minimum redemption amount plus the nominal amount multiplied by the performance of the underlying asset multiplied by the participation ratio, on the redemption date. </t>
  </si>
  <si>
    <t xml:space="preserve">If the basket has had a positive performance, the note will pay the nominal amount plus the nominal amount multiplied by the performance of the underlying basket multiplied by the participation ratio, on the redemption date. </t>
  </si>
  <si>
    <t>If the basket has had a positive performance, the note will pay the minimum redemption amount plus the nominal amount multiplied by the performance of the basket multiplied by the participation ratio, on the redemption date. When calculating the performance of the basket, the performance will always be 10 percentage points higher than the actual performance of the underlying basket. Currency fluctuations will also affect the return of the investment.</t>
  </si>
  <si>
    <t>If the basket has had a positive performance, the note will pay the nominal amount plus the nominal amount multiplied by the performance of the basket multiplied by the participation ratio, on the redemption date. When calculating the performance of the basket, it will be equal to the lowest of the basket performance and the performance cap.</t>
  </si>
  <si>
    <t>If the basket has had a positive performance, the note will pay the minimum redemption amount plus the nominal amount multiplied by the performance of the basket multiplied by the participation ratio, on the redemption date. When calculating the performance of the underlying basket, it will be equal to the lowest of the basket performance and the performance cap.</t>
  </si>
  <si>
    <t>If, on a valuation date, the relative difference between the underlying assets is within a predefined interval, the note will pay the nominal amount multiplied with the participation ratio multiplied with the relative difference between the underlying assets on the next interest payment date.</t>
  </si>
  <si>
    <t>If the underlying asset has had a positive performance, the note will pay the minimum redemption amount plus the nominal amount multiplied by the performance of the underlying asset multiplied by the participation ratio, on the redemption date. Currency fluctuations will also affect the return of the investment.</t>
  </si>
  <si>
    <t xml:space="preserve">If the basket has had a positive performance, the note will pay the minimum redemption amount plus the nominal amount multiplied by the performance of the basket multiplied by the participation ratio, on the redemption date. When calculating the performance of the basket, the performance will always be 10 percentage points higher than the actual performance of the basket. </t>
  </si>
  <si>
    <t>If the underlying asset has had a positive performance, the note will pay the minimum redemption amount plus the nominal amount multiplied by the performance of the underlying asset multiplied by the participation ratio, on the redemption date. When calculating the performance of the underlying asset, the performance will always be 10 percentage points higher than the actual performance of the underlying asset. Currency fluctuations will also affect the return of the investment.</t>
  </si>
  <si>
    <t>If the underlying asset has had a positive performance, the note will pay the nominal amount plus the nominal amount multiplied by the performance of the underlying asset multiplied by the participation ratio, on the redemption date. When calculating the performance of the underlying asset, the performance has had a cap.</t>
  </si>
  <si>
    <t xml:space="preserve">If the basket has had a positive performance, the note will pay the nominal amount plus the nominal amount multiplied by the performance of the underlying asset multiplied by the participation ratio, on the redemption date. </t>
  </si>
  <si>
    <t xml:space="preserve">If the basket has had a negative performance, the note will pay the minimum redemption amount on the redemption date. </t>
  </si>
  <si>
    <t xml:space="preserve">If the underlying asset has had a negative performance, the note will pay the minimum redemption amount on the redemption date. </t>
  </si>
  <si>
    <t>If the underlying asset has had a positive performance, the note will pay the minimum redemption amount plus the nominal amount multiplied by the performance of the underlying asset multiplied by the participation ratio, on the redemption date.</t>
  </si>
  <si>
    <t xml:space="preserve">If the basket has had a negative performance, the note will pay the highest of the minimum redemption amount and the nominal amount reduced by the negative performance of the underlying basket on the redemption date. </t>
  </si>
  <si>
    <t xml:space="preserve">If the basket has had a negative performance (actual performance of minus 10 percent or more), the note will pay the minimum redemption amount on the redemption date. </t>
  </si>
  <si>
    <t xml:space="preserve">If the basket has had a negative performance, the note will pay the highest of the minimum redemption amount and the nominal amount reduced by the negative performance of the basket on the redemption date. </t>
  </si>
  <si>
    <t xml:space="preserve">If the underlying asset has had a negative performance, the note will pay the highest of the minimum redemption amount and the nominal amount reduced by the negative performance of the underlying asset on the redemption date. </t>
  </si>
  <si>
    <r>
      <t>If, on a valuation date, the relative difference between the underlying assets is higher than a predefined interval, the note will pay the maximu</t>
    </r>
    <r>
      <rPr>
        <sz val="11"/>
        <rFont val="Calibri"/>
        <family val="2"/>
      </rPr>
      <t>m coupon</t>
    </r>
    <r>
      <rPr>
        <sz val="11"/>
        <color theme="1"/>
        <rFont val="Calibri"/>
        <family val="2"/>
      </rPr>
      <t xml:space="preserve"> on the next interest payment date.</t>
    </r>
  </si>
  <si>
    <t xml:space="preserve">If the basket has had an negative performance (actual performance of minus 10 percent or more), the note will pay the minimum redemption amount on the redemption date. </t>
  </si>
  <si>
    <t xml:space="preserve">If the underlying asset has had an negative performance (actual performance of minus 10 percent or more), the note will pay the minimum redemption amount on the redemption date. </t>
  </si>
  <si>
    <t xml:space="preserve">If the underlying asset has had a negative performance, the note will pay the higher of the minimum redemption amount, and the nominal amount reduced by the negative performance of the underlying asset, on the redemption date. </t>
  </si>
  <si>
    <t xml:space="preserve">If the basket has had a negative performance, the note will pay the nominal amount plus the nominal amount multiplied by the negative performance of the basket multiplied by the downside participation ratio on the redemption date. </t>
  </si>
  <si>
    <t>If, on a valuation date, the relative difference between the underlying assets is lower than a predefined interval, no floating interest will be paid on the next interest payment date.</t>
  </si>
  <si>
    <t xml:space="preserve">The note will pay the minimum redemption amount on the redemption date. </t>
  </si>
  <si>
    <t>Minimum redemption amount</t>
  </si>
  <si>
    <t>Downside participation ratio</t>
  </si>
  <si>
    <t>Payout</t>
  </si>
  <si>
    <t>100% + (Performance * Participation)</t>
  </si>
  <si>
    <t>(Performance * Participation); DI BARRIER AT MATURITY</t>
  </si>
  <si>
    <t>Lifecycle Payments</t>
  </si>
  <si>
    <t>- 100%</t>
  </si>
  <si>
    <t>100% + MAX (Performance * Participation; Coupon); AT MATURITY</t>
  </si>
  <si>
    <t>(Performance * Participation)</t>
  </si>
  <si>
    <t>100% + MIN (Performance * Participation; CallSpread Strike)</t>
  </si>
  <si>
    <t>###</t>
  </si>
  <si>
    <t>CallSpread</t>
  </si>
  <si>
    <t>GearedPut_Airbag</t>
  </si>
  <si>
    <t>100% + (Performance * Participation); Flexo</t>
  </si>
  <si>
    <t>PutSpread</t>
  </si>
  <si>
    <t>EDIPSpread</t>
  </si>
  <si>
    <t>100% + MAX (Performance * Participation; Coupon); CONTINUOUS</t>
  </si>
  <si>
    <t>(Performance * Participation); DI BARRIER CONTINUOUS</t>
  </si>
  <si>
    <t>100% + MIN (Performance * Participation; CallSpread Strike); FLEXO</t>
  </si>
  <si>
    <t>100% + MAX (Performance * Participation; Coupon); AT MATURITY; FLEXO</t>
  </si>
  <si>
    <t>100% + (Performance * Participation); FLEXO</t>
  </si>
  <si>
    <t>100% + Coupon + Performance * Participation</t>
  </si>
  <si>
    <t>100% + Performance1 * Participation - Performance2</t>
  </si>
  <si>
    <t>SE0005795911</t>
  </si>
  <si>
    <t>FI4000176847</t>
  </si>
  <si>
    <t xml:space="preserve">FI4000149893 </t>
  </si>
  <si>
    <t>FI4000176920</t>
  </si>
  <si>
    <t>SE0007953666</t>
  </si>
  <si>
    <t>XS1306624393</t>
  </si>
  <si>
    <t>XS1305077866</t>
  </si>
  <si>
    <t>CLN zero 1</t>
  </si>
  <si>
    <t>CLN zero 2</t>
  </si>
  <si>
    <t>CLN zero 3</t>
  </si>
  <si>
    <t>CLN zero 4</t>
  </si>
  <si>
    <t>CLN zero 5</t>
  </si>
  <si>
    <t>CLN zero 6</t>
  </si>
  <si>
    <t>CLN zero 7</t>
  </si>
  <si>
    <t>Basket</t>
  </si>
  <si>
    <t>Linear</t>
  </si>
  <si>
    <t>Tranched mezz (buffer)</t>
  </si>
  <si>
    <t>Tranched equity/Tranched equity+mezz(no buffer)</t>
  </si>
  <si>
    <t>Tranched equity (no buffer)</t>
  </si>
  <si>
    <t>Tranched mezz (buffert)</t>
  </si>
  <si>
    <t>Zero recovery</t>
  </si>
  <si>
    <t>Market recovery</t>
  </si>
  <si>
    <t>Zero coupon</t>
  </si>
  <si>
    <t>Zero coupon (TRP)</t>
  </si>
  <si>
    <t>Capital guarantee</t>
  </si>
  <si>
    <t>Fixed guaranteed interest</t>
  </si>
  <si>
    <t xml:space="preserve">Minimum redemption </t>
  </si>
  <si>
    <t>Level 6</t>
  </si>
  <si>
    <t xml:space="preserve">This is a credit linked note linked to the number of credit events in a basket. The note has a target redemption amount and does not pay any recovery if a credit event occur. In case of a credit event, the target redemption amount is decreased by a predefined percentage for each underlying asset. </t>
  </si>
  <si>
    <t xml:space="preserve">This is a credit linked note linked to the number of credit events in a basket. The note has a target redemption amount and does not pay any recovery if a credit event occur. The note has a buffer, meaning that a predefined number of credit events doesn´t affect the target redemption amount. If more than the predefined number of credit event occurs, the target redemption amount will decrease by a predefined percentage. Meaning, additional credit events will have a bigger impact on the redemption amount than their basket participation.  </t>
  </si>
  <si>
    <t>This is a credit linked note linked to the number of credit events in a basket. The note has a target redemption amount and does not pay any recovery if a credit event occur. In case of a credit event, the target redemption amount will decreased by a predefined percentage (see credit event exposure in key definitions below).</t>
  </si>
  <si>
    <t xml:space="preserve">This is a credit linked note linked to the number of credit events in a basket. The note has a target redemption amount and does not pay any recovery if a credit event occur. In case of a credit event, each credit event will reduce the amount exceeding the nominal amount (target redemption amount - nominal amount) by a predefined percentage (see credit event exposure in key definitions below). the note is capital protected. </t>
  </si>
  <si>
    <t xml:space="preserve">This is a credit linked note linked to the number of credit events in a basket. The note has a target redemption amount and pays a recovery value if a credit event occur. The note has a buffer, meaning that a predefined percentage of credit events doesn´t affect the target redemption amount. If more than the predefined credit events occur, the target redemption amount will decrease by a predefined percentage (see credit event exposure in key definitions below). Meaning, additional credit events will have a bigger impact on the redemption amount than their basket participation. </t>
  </si>
  <si>
    <t xml:space="preserve">This is a credit linked note linked to the number of credit events in a basket. The note pays a fixed interest, calculated on the nominal amount on each interest payment date. The note has a target redemption amount and does not pay any recovery if a credit event occur. In case of a credit event, each credit event will reduce the amount exceeding the nominal amount (target redemption amount - nominal amount) by a predefined percentage (see credit event exposure in key definitions below). the note is capital protected. </t>
  </si>
  <si>
    <t xml:space="preserve">This is a credit linked note linked to the number of credit events in a basket. If no credit events occur in the underlying assets during the observation period, the note will pay the minimum redemption amount plus the additional redemption amount on the redemption date. If one or more credit event occurs in the underlying assets during the observation period, each credit event will reduce the additional redemption amount by a predefined percentage (see credit event exposure in key definitions below). The note will pay the minimum redemption amount plus the adjusted additional redemption amount on the redemption date. </t>
  </si>
  <si>
    <t>Credit Linked Note</t>
  </si>
  <si>
    <t xml:space="preserve">The objective is to invest in a credit linked note with a high target redemption amount. </t>
  </si>
  <si>
    <t xml:space="preserve">The objective is to invest in a credit linked note with fixed interest payments and a high target redemption amount. </t>
  </si>
  <si>
    <t>The return of the investment depends on the number of credit events in the underlying assets during the observation period. Bankruptcy, failure to pay, restructuring and governmental intervention are examples that could constitute a credit event.</t>
  </si>
  <si>
    <t>The return of the investment depends on the number (percentage) of credit events in the underlying assets during the observation period. Bankruptcy, failure to pay, restructuring and governmental intervention are examples that could constitute a credit event.</t>
  </si>
  <si>
    <t xml:space="preserve">The return of the investment depends on the number (percentage) of credit events in the underlying assets during the observation period. Bankruptcy, failure to pay, restructuring and governmental intervention are examples that could constitute a credit event. </t>
  </si>
  <si>
    <t>If no credit events occur in the underlying assets during the observation period, the note will pay the target redemption amount on the redemption date.</t>
  </si>
  <si>
    <t>If not more than a predefined percentage of credit events (the buffer) occur in the underlying assets during the observation period, the note will pay the target redemption amount on the redemption date.</t>
  </si>
  <si>
    <t>If no credit events occur in the underlying assets during the observation period, the note will pay the minimum redemption amount plus the additional redemption amount on the redemption date.</t>
  </si>
  <si>
    <t>If one or more credit event occurs in the underlying assets during the observation period, each credit event will decrease the target redemption amount by a predefined percentage for each underlying asset. The note will pay the adjusted target redemption amount on the redemption date.</t>
  </si>
  <si>
    <t>If the percentage of credit events exceeds the buffer, each additional credit event will decrease the target redemption amount by a predefined percentage (see credit event exposure in key definitions below). The note will pay the adjusted target redemption amount on the redemption date.</t>
  </si>
  <si>
    <t>If one or more credit event occurs in the underlying assets during the observation period, each credit event will decrease the target redemption amount by a predefined percentage (see credit event exposure in key definitions below). The note will pay the adjusted target redemption amount on the redemption date.</t>
  </si>
  <si>
    <t xml:space="preserve">If one or more credit event occurs in the underlying assets during the observation period, each credit event will reduce the amount exceeding the nominal amount (target redemption amount - nominal amount) by a predefined percentage (see credit event exposure in key definitions below). The note will pay the adjusted target redemption amount on the redemption date. </t>
  </si>
  <si>
    <t xml:space="preserve">A buffer allows for a number of credit events in the underlying assets during the observation period, without decreasing the target redemption amount. The number of credit events in the buffer depends on the market recovery value, which is determined in the event of a credit event. The buffer is defined as a percentage, and in case of a credit event the buffer will decrease by the company's weight in the underlying basket multiplied by 1 minus the market recovery value. </t>
  </si>
  <si>
    <t xml:space="preserve">If one or more credit event occurs in the underlying assets during the observation period, each credit event will reduce the additional redemption amount by a predefined percentage (see credit event exposure in key definitions below). The note will pay the minimum redemption amount plus the adjusted additional redemption amount on the redemption date. </t>
  </si>
  <si>
    <t xml:space="preserve">If the percentage of credit events exceeds the buffer, each additional credit event will decrease the redemption amount by the company's weight in the underlying basket multiplied by 1 minus the market recovery value multiplied by the target redemption amount. The note will pay the adjusted target redemption amount on the redemption date. </t>
  </si>
  <si>
    <t>Nominal Amount + currency</t>
  </si>
  <si>
    <t>Nominal amount+ currency</t>
  </si>
  <si>
    <t>Adjusted target redemption amount</t>
  </si>
  <si>
    <t>Additional redemption amount</t>
  </si>
  <si>
    <t>Observation period start date</t>
  </si>
  <si>
    <t>Buffer</t>
  </si>
  <si>
    <t>Credit event exposure</t>
  </si>
  <si>
    <t>Buffer (%)</t>
  </si>
  <si>
    <t>Adjusted additional redemption amount</t>
  </si>
  <si>
    <t>Observation period end date</t>
  </si>
  <si>
    <t>Number of underlying credits</t>
  </si>
  <si>
    <t>Number of credit events</t>
  </si>
  <si>
    <t/>
  </si>
  <si>
    <t>MaskName in LPADoc</t>
  </si>
  <si>
    <t>Basket Fixed Linear CLN</t>
  </si>
  <si>
    <t>Basket Fixed Mezzanine CLN (buffer)</t>
  </si>
  <si>
    <t>Basket Fixed Equity CLN</t>
  </si>
  <si>
    <t>Basket Fixed FTD CLN</t>
  </si>
  <si>
    <t>Fixed CLN</t>
  </si>
  <si>
    <t xml:space="preserve"> Basket Fixed Mezzanine CLN (perc. buffer)</t>
  </si>
  <si>
    <t xml:space="preserve">Basket Fixed Linear CLN </t>
  </si>
  <si>
    <t>SE0007981998 (fasträntebevis)</t>
  </si>
  <si>
    <t>FI4000176854</t>
  </si>
  <si>
    <t>FI4000090881</t>
  </si>
  <si>
    <t>SE0007953690</t>
  </si>
  <si>
    <t>SE0006992475 (fasträntebevis)</t>
  </si>
  <si>
    <t>SE0007953674</t>
  </si>
  <si>
    <t>SE0007953708</t>
  </si>
  <si>
    <t>FI4000091020</t>
  </si>
  <si>
    <t>XS0947303508</t>
  </si>
  <si>
    <t>SE0005126570</t>
  </si>
  <si>
    <t>SE0004325181</t>
  </si>
  <si>
    <t>SE0005366457</t>
  </si>
  <si>
    <t>CLN fixed 1</t>
  </si>
  <si>
    <t>CLN fixed 2</t>
  </si>
  <si>
    <t>CLN fixed 3</t>
  </si>
  <si>
    <t>CLN fixed 4</t>
  </si>
  <si>
    <t>CLN fixed 5</t>
  </si>
  <si>
    <t>CLN fixed 6</t>
  </si>
  <si>
    <t>CLN fixed 7</t>
  </si>
  <si>
    <t>CLN fixed 8</t>
  </si>
  <si>
    <t>CLN fixed 9</t>
  </si>
  <si>
    <t>CLN fixed 10</t>
  </si>
  <si>
    <t>CLN fixed 11</t>
  </si>
  <si>
    <t>CLN fixed 12</t>
  </si>
  <si>
    <t>Single name</t>
  </si>
  <si>
    <t>Tranched junior/tranched equity</t>
  </si>
  <si>
    <t>FTD</t>
  </si>
  <si>
    <t>SAE</t>
  </si>
  <si>
    <t>SAM</t>
  </si>
  <si>
    <t>Market recovery (SAE)</t>
  </si>
  <si>
    <t>Guaranteed fixed interest</t>
  </si>
  <si>
    <t>This is a credit linked note linked to the number of credit events in a basket. The note pays a fixed interest calculated on the adjusted nominal amount. In case of a credit event, the nominal amount is decreased by a predefined percentage for each underlying asset. Losses are settled at maturity. This is a zero recovery note.</t>
  </si>
  <si>
    <t>This is a credit linked note linked to the number of credit events in a basket. The note pays a fixed interest, calculated on the adjusted nominal amount. The note has a buffer, meaning that a predefined number of credit events doesn´t affect the nominal amount. If more than the predefined credit events occur, the nominal amount will decrease by a predefined percentage (see credit event exposure in key definitions below). Meaning, additional credit events will have a bigger impact on the redemption amount than their basket participation. This is a zero recovery note.</t>
  </si>
  <si>
    <t>This is a credit linked note linked to the number of credit events in a basket. The note pays a fixed interest, calculated on the adjusted nominal amount. In case of a credit event, the nominal amount will decrease by a predefined percentage (see credit event exposure in key definitions below). Meaning, a credit event will have a bigger impact on the redemption amount than their basket participation. This is a zero recovery note.</t>
  </si>
  <si>
    <t>This is a first to default credit linked note linked to a basket of reference entities. In the event of no credit events, the note pays a fixed interest on every interest payment date and nominal amount at maturity. In the event of a credit event, the note will not pay any more interest and the note will pay nominal amount x market recovery value at maturity.</t>
  </si>
  <si>
    <t xml:space="preserve">This is a credit linked note linked to one underlying asset. If no credit event occurs, the note will pay a fixed interest on all interest payment dates and nominal amount at maturity. In the event of a credit event, the note will terminate and pay nominal amount x market recovery value. Interest will be paid to and including the date of the credit event. </t>
  </si>
  <si>
    <t xml:space="preserve">This is a credit linked note linked to one underlying asset. If no credit event occurs, the note will pay a fixed interest on all interest payment dates and nominal amount at maturity. In the event of a credit event, the note will pay interest to and including the date of the credit event, but not any further. The note will pay nominal amount x market recovery value at maturity. </t>
  </si>
  <si>
    <t>This is a credit linked note linked to the number of credit events in a basket. The note pays a fixed interest, calculated on the adjusted nominal amount. The note has a buffer, meaning that a predefined percentage of credit events doesn´t affect the nominal amount. If more than the predefined credit events occur, the nominal amount will decrease by the company's weight in the underlying basket multiplied by 1 minus the recovery value multiplied by the nominal amount (see credit event exposure in key definitions below). Meaning, additional credit events will have a bigger impact on the redemption amount than their basket participation. This is a market recovery note.</t>
  </si>
  <si>
    <t>This is a credit linked note linked to the number of credit events in a basket. The note pays a fixed interest calculated on the nominal amount on each interest payment date. If no credit events occur in the underlying assets during the observation period, the note will pay the target redemption amount on the redemption date. If one or more credit event occurs in the underlying assets during the observation period, each credit event will decrease the target redemption amount by a predefined percentage for each underlying asset. The note will pay the adjusted target redemption amount on the redemption date.</t>
  </si>
  <si>
    <t xml:space="preserve">This is a credit linked note linked to the number of credit events in a basket. The note pays a fixed interest calculated on the adjusted nominal amount. In case of a credit event, the nominal amount is decreased by a predefined percentage for each underlying asset. This is a market recovery note, settled at maturity. </t>
  </si>
  <si>
    <t>This is a credit linked note linked to the number of credit events in a basket. The note pays a fixed interest, calculated on the nominal amount on each interest payment date. The note has a buffer, meaning that a predefined number of credit events doesn´t affect the nominal amount. If more than the predefined credit events occur, the nominal amount will decrease by a predefined percentage (see credit event exposure in key definitions below). Meaning, additional credit events will have a bigger impact on the redemption amount than their basket participation. This is a zero recovery note.</t>
  </si>
  <si>
    <t>This is a credit linked note linked to the number of credit events in a basket. The note pays a fixed interest, calculated on the nominal amount on each interest payment date. In case of a credit event, the nominal amount is decreased by a predefined percentage for each underlying asset. Losses are settled at maturity. This is a zero recovery note.</t>
  </si>
  <si>
    <t>This is a credit linked note linked to the number of credit events in a basket. The note pays a fixed interest calculated on the adjusted nominal amount. In case of a credit event, the nominal amount is decreased by a predefined percentage for each underlying asset. The note pays market recovery value at the next interest payment date if a credit event occur.</t>
  </si>
  <si>
    <t xml:space="preserve">The objective is to invest in a credit linked note with fixed interest payments. </t>
  </si>
  <si>
    <t>The return of the investment depends on whether a credit event occurs in any of the  underlying assets during the observation period. Bankruptcy, failure to pay, restructuring and governmental intervention are examples that could constitute a credit event.</t>
  </si>
  <si>
    <t>The return of the investment depends on whether a credit event occur in the underlying asset during the observation period. Bankruptcy, failure to pay, restructuring and governmental intervention are examples that could constitute a credit event.</t>
  </si>
  <si>
    <t>If no credit events occur in the underlying assets during the observation period, the note will pay a fixed interest, calculated on the nominal amount, on each interest payment date and the nominal amount on the redemption date.</t>
  </si>
  <si>
    <t>If no credit event occur in the underlying asset during the observation period, the note will pay a fixed interest, calculated on the nominal amount, on each interest payment date and the nominal amount on the redemption date.</t>
  </si>
  <si>
    <t xml:space="preserve">If no credit events occur in the underlying assets during the observation period, the note will pay the nominal amount on the redemption date.  </t>
  </si>
  <si>
    <r>
      <t>If not more than a predefined percentage of credit events (the buffer) occur</t>
    </r>
    <r>
      <rPr>
        <strike/>
        <sz val="11"/>
        <color rgb="FFFF0000"/>
        <rFont val="Calibri"/>
        <family val="2"/>
      </rPr>
      <t>If not more than a predefined number of credit events (the buffer) occur</t>
    </r>
    <r>
      <rPr>
        <sz val="11"/>
        <color rgb="FFFF0000"/>
        <rFont val="Calibri"/>
        <family val="2"/>
      </rPr>
      <t xml:space="preserve"> in the underlying assets during the observation period, the note will pay the nominal amount on the redemption date. </t>
    </r>
  </si>
  <si>
    <t xml:space="preserve">If no credit events occur in the underlying assets during the observation period the note will pay the nominal amount on the redemption date.  </t>
  </si>
  <si>
    <r>
      <t>If a credit event occurs in any of the underlying assets during the observation period, the fixed interest payments will terminate and the note will pay the nominal amount multiplied by the market recovery value of the defaulted entity</t>
    </r>
    <r>
      <rPr>
        <strike/>
        <sz val="11"/>
        <color rgb="FFFF0000"/>
        <rFont val="Calibri"/>
        <family val="2"/>
      </rPr>
      <t xml:space="preserve">(ies) </t>
    </r>
    <r>
      <rPr>
        <sz val="11"/>
        <color theme="1"/>
        <rFont val="Calibri"/>
        <family val="2"/>
      </rPr>
      <t xml:space="preserve">on the redemption date. </t>
    </r>
  </si>
  <si>
    <t xml:space="preserve">If a credit event occur in the underlying asset during the observation period, the note will terminate and pay nominal amount multiplied by the market recovery value. Interest will be paid to the date of the credit event. </t>
  </si>
  <si>
    <t xml:space="preserve">If a credit event occur in the underlying asset during the observation period, the note will pay nominal amount multiplied by the market recovery value on the redemption date. Interest will be paid to the date of the credit event. </t>
  </si>
  <si>
    <t xml:space="preserve">If not more than a predefined percentage of credit events (the buffer) occur in the underlying assets during the observation period, the note will pay the nominal amount on the redemption date. The buffer is defined as a percentage, and in case of a credit event the buffer will decrease by the company's weight in the underlying basket multiplied by 1 minus the market recovery value. </t>
  </si>
  <si>
    <t xml:space="preserve">If no credit events occur in the underlying assets during the observation period, the note will pay the target redemption amount on the redemption date.  </t>
  </si>
  <si>
    <t xml:space="preserve">If not more than a predefined percentage of credit events (the buffer) occur in the underlying assets during the observation period, the note will pay the nominal amount on the redemption date. </t>
  </si>
  <si>
    <t>If one or more credit event occurs in the underlying assets during the observation period, each credit event will decrease the nominal amount by a predefined percentage for each underlying asset. The note will pay the adjusted nominal amount on the redemption date.</t>
  </si>
  <si>
    <t>If the percentage of credit events exceeds the buffer, each additional credit event will decrease the nominal amount by a predefined percentage (see credit event exposure in key definitions below). The note will pay the adjusted nominal amount on the redemption date.</t>
  </si>
  <si>
    <t>If one or more credit events occur in the underlying assets during the observation period, each credit event will decrease the nominal amount by a predefined percentage (see credit event exposure in key definitions below). The note will pay the adjusted nominal amount on the redemption date.</t>
  </si>
  <si>
    <r>
      <t xml:space="preserve">If the credit events exceeds the buffer, each additional credit event will decrease the </t>
    </r>
    <r>
      <rPr>
        <sz val="11"/>
        <color rgb="FFFF0000"/>
        <rFont val="Calibri"/>
        <family val="2"/>
      </rPr>
      <t>nominal</t>
    </r>
    <r>
      <rPr>
        <sz val="11"/>
        <rFont val="Calibri"/>
        <family val="2"/>
      </rPr>
      <t xml:space="preserve"> </t>
    </r>
    <r>
      <rPr>
        <strike/>
        <sz val="11"/>
        <color rgb="FFFF0000"/>
        <rFont val="Calibri"/>
        <family val="2"/>
      </rPr>
      <t xml:space="preserve">redemption </t>
    </r>
    <r>
      <rPr>
        <sz val="11"/>
        <rFont val="Calibri"/>
        <family val="2"/>
      </rPr>
      <t>amount by the company's weight in the underlying basket multiplied by 1 minus the market recovery value multiplied by the nominal amount. The note will pay the adjusted nominal amount on the redemption date.</t>
    </r>
  </si>
  <si>
    <t>If one or more credit event occurs in the underlying assets during the observation period, each credit event will decrease the nominal amount by a predefined percentage for each underlying asset. The market recovery value of the defaulted entity(ies) and the adjusted nominal amount will be paid on the redemption date.</t>
  </si>
  <si>
    <t>If one or more credit event occurs in the underlying assets during the observation period, each credit event will decrease the nominal amount by a predefined percentage for each underlying asset. The market recovery value of the defaulted entity(ies) will be paid on the next interest payment date, and the adjusted nominal amount will be paid on the redemption date.</t>
  </si>
  <si>
    <t>Market recovery value</t>
  </si>
  <si>
    <t>NO0010757230</t>
  </si>
  <si>
    <t>SE0006262036</t>
  </si>
  <si>
    <t xml:space="preserve">SE0005100476 </t>
  </si>
  <si>
    <t>FI4000037395</t>
  </si>
  <si>
    <t>SE0004809853</t>
  </si>
  <si>
    <t>XS1253552001</t>
  </si>
  <si>
    <t>SE0005218500</t>
  </si>
  <si>
    <t>FI4000091400</t>
  </si>
  <si>
    <t>FI4000037387</t>
  </si>
  <si>
    <t>XS0999632986</t>
  </si>
  <si>
    <t>FI4000069018</t>
  </si>
  <si>
    <t>SE0005768736</t>
  </si>
  <si>
    <t>SE0005218518</t>
  </si>
  <si>
    <t>SE0004869048</t>
  </si>
  <si>
    <t>XS1279435678</t>
  </si>
  <si>
    <t>XS0947718622</t>
  </si>
  <si>
    <t>XS1056933549</t>
  </si>
  <si>
    <t>SE0005095494</t>
  </si>
  <si>
    <t>XS1221776294</t>
  </si>
  <si>
    <t>XS0838390150</t>
  </si>
  <si>
    <t>SE0004517522</t>
  </si>
  <si>
    <t>CLN floating 4</t>
  </si>
  <si>
    <t>CLN floating 9</t>
  </si>
  <si>
    <t>CLN floating 1</t>
  </si>
  <si>
    <t>CLN floating 2</t>
  </si>
  <si>
    <t>CLN floating 14</t>
  </si>
  <si>
    <t>CLN floating 11</t>
  </si>
  <si>
    <t>CLN floating 21</t>
  </si>
  <si>
    <t>CLN floating 19</t>
  </si>
  <si>
    <t>CLN floating 15</t>
  </si>
  <si>
    <t>CLN floating 22</t>
  </si>
  <si>
    <t>CLN floating 17</t>
  </si>
  <si>
    <t>CLN floating 23</t>
  </si>
  <si>
    <t>CLN floating 3</t>
  </si>
  <si>
    <t>CLN floating 8</t>
  </si>
  <si>
    <t>CLN floating 6</t>
  </si>
  <si>
    <t>CLN floating 7</t>
  </si>
  <si>
    <t>CLN floating 20</t>
  </si>
  <si>
    <t>CLN floating 16</t>
  </si>
  <si>
    <t>CLN floating 18</t>
  </si>
  <si>
    <t>CLN floating 5</t>
  </si>
  <si>
    <t>CLN floating 10</t>
  </si>
  <si>
    <t>CLN floating 13</t>
  </si>
  <si>
    <t xml:space="preserve">Single underlying </t>
  </si>
  <si>
    <t>Market recovery,</t>
  </si>
  <si>
    <t>Guaranteed floating interest. Cap and floor p.a</t>
  </si>
  <si>
    <t>Guaranteed floating interest</t>
  </si>
  <si>
    <t xml:space="preserve">Floating interest for the forthcoming interest payment dates multiplied by gearing. </t>
  </si>
  <si>
    <t>Floating interest for the forthcoming interest payment dates + cap and floor</t>
  </si>
  <si>
    <t>Floating interest for the forthcoming interest payment dates multiplied by gearing</t>
  </si>
  <si>
    <t>Floating guaranteed interest</t>
  </si>
  <si>
    <t>Cap and floor on floating interest</t>
  </si>
  <si>
    <t>Non-risky reference (floating) rate, risky fixed rate</t>
  </si>
  <si>
    <t>This is a credit linked note linked to the number of credit events in a basket. The note pays a floating interest, calculated on the adjusted nominal amount. In case of a credit event, the nominal amount will decrease by a predefined percentage (see credit event exposure in key definitions below). Meaning, a credit event will have a bigger impact on the redemption amount than their basket participation. This is a zero recovery note.</t>
  </si>
  <si>
    <t>This is a credit linked note linked to the number of credit events in a basket. The note pays a fixed interest, calculated on the adjusted nominal amount, and a floating interest, calculated on the nominal amount. In case of a credit event, the nominal amount will decrease by a predefined percentage (see credit event exposure in key definitions below). Meaning, a credit event will have a bigger impact on the redemption amount than their basket participation. This is a zero recovery note.</t>
  </si>
  <si>
    <t>This is a credit linked note linked to the number of credit events in a basket. The note pays a floating interest, calculated on the adjusted nominal amount. In case of a credit event, the nominal amount is decreased by a predefined percentage for each underlying asset. This is a zero recovery note.</t>
  </si>
  <si>
    <t>This is a credit linked note linked to the number of credit events in a basket. The note pays a floating interest, calculated on the adjusted nominal amount. In case of a credit event, the nominal amount is decreased by a predefined percentage for each underlying asset. The note pays market recovery value at the next interest payment date if a credit event occur.</t>
  </si>
  <si>
    <t>This is a credit linked note linked to the number of credit events in a basket. The note pays a floating interest, calculated on the adjusted nominal amount. In case of a credit event, the nominal amount is decreased by a predefined percentage for each underlying asset. The note pays market recovery value at the redemption date.</t>
  </si>
  <si>
    <t>This is a credit linked note linked to the number of credit events in a basket. The note pays a guaranteed floating interest, calculated on the nominal amount on each interest payment date. In case of a credit event, the nominal amount will decrease by a predefined percentage for each underlying asset. This is a zero recovery note.</t>
  </si>
  <si>
    <t>This is a credit linked note linked to the number of credit events in a basket. The note pays a fixed interest, calculated on the adjusted nominal amount, and a floating interest, calculated on the nominal amount. In case of a credit event, the nominal amount is decreased by a predefined percentage for each underlying asset. This is a zero recovery note.</t>
  </si>
  <si>
    <t xml:space="preserve">This is a credit linked note linked to the number of credit events in a basket. The note pays a floating interest (interest rate + reference rate), calculated on the nominal amount on each interest payment date. The note has a target redemption amount and does not pay any recovery if a credit event occur. In case of a credit event, the target redemption amount is decreased by a predefined percentage for each underlying asset. </t>
  </si>
  <si>
    <t>This is a credit linked note linked to the number of credit events in a basket. The note will pay a fixed interest for a set number of interest payment dates, calculated on the adjusted nominal amount. For the forthcoming interest payment dates, the note will pay a floating interest calculated on the adjusted nominal amount. In case of a credit event, the nominal amount is decreased by a predefined percentage for each underlying asset. This is a zero recovery note.</t>
  </si>
  <si>
    <t xml:space="preserve">This is a credit linked note linked to the number of credit events in a basket. The note pays a fixed interest calculated on the adjusted nominal amount, on each fixed interest payment date and a floating interest (reference rate + interest margin), calculated on the adjusted nominal amount on each floating interest payment date. In case of a credit event, the nominal amount is decreased by a predefined percentage for each underlying asset. This is a market recovery note, settled at maturity. </t>
  </si>
  <si>
    <t>This is a credit linked note linked to the number of credit events in a basket. The note will pay a fixed interest for a set number of interest payment dates, calculated on the adjusted nominal amount. For the forthcoming interest payment dates, the note will pay a floating interest (reference rate multiplied by the gearing factor) calculated on the adjusted nominal amount. The floating interest payments has a yearly cap and floor. In case of a credit event, the nominal amount is decreased by a predefined percentage for each underlying asset. This is a zero recovery note.</t>
  </si>
  <si>
    <t>This is a credit linked note linked to the number of credit events in a basket. The note will pay a fixed interest for a set number of interest payment dates, calculated on the adjusted nominal amount. For the forthcoming interest payment dates, the note will pay a floating interest calculated on the adjusted nominal amount. The floating interest payments has a yearly cap and floor. In case of a credit event, the nominal amount is decreased by a predefined percentage for each underlying asset. This is a zero recovery note.</t>
  </si>
  <si>
    <t>This is a credit linked note linked to the number of credit events in a basket. The note pays a floating interest, calculated on the adjusted nominal amount. The note has a buffer, meaning that a predefined percentage of credit events doesn´t affect the nominal amount. If more than the predefined credit events occur, the nominal amount will decrease by a predefined percentage (see credit event exposure in key definitions below). Meaning, additional credit events will have a bigger impact on the redemption amount than their basket participation. This is a market recovery note.</t>
  </si>
  <si>
    <t>This is a credit linked note linked to the number of credit events in a basket. The note pays a fixed interest, calculated on the adjusted nominal amount, and a floating interest, calculated on the nominal amount. The note has a buffer, meaning that a predefined percentage of credit events doesn´t affect the nominal amount. If more than the predefined credit events occur, the nominal amount will decrease by the company's weight in the basket multiplied by 1 minus the recovery value multiplied by the nominal amount. Meaning, additional credit events will have a bigger impact on the redemption amount than their basket participation. This is a market recovery note.</t>
  </si>
  <si>
    <t xml:space="preserve">This is a credit linked note linked to the number of credit events in a basket. The note pays a floating Interest, calculated on the adjusted nominal amount. The note has a buffer, meaning that a predefined number of credit events doesn´t affect the nominal amount. If more than the predefined credit events occur, the nominal amount will decrease by a predefined percentage (see credit event exposure in key definitions below). Meaning, additional credit events will have a bigger impact on the redemption amount than their basket participation. This is a zero recovery note. </t>
  </si>
  <si>
    <t>This is a credit linked note linked to the number of credit events in a basket. The note pays a fixed interest, calculated on the adjusted nominal amount, and a floating interest, calculated on the nominal amount. The note has a buffer, meaning that a predefined number of credit events doesn´t affect the nominal amount. If more than the predefined credit events occur, the nominal amount will decrease by a predefined percentage (see credit event exposure in key definitions below). Meaning, additional credit events will have a bigger impact on the redemption amount than their basket participation. The note is a zero recovery note.</t>
  </si>
  <si>
    <t xml:space="preserve">This is a credit linked note linked to the number of credit events in a basket. The note will pay a floating interest (interest margin plus reference rate), calculated on the nominal amount, on each interest payment date. The interest payments has a yearly cap and floor. The note has a buffer, meaning that a predefined number of credit events doesn´t affect the nominal amount. If more than the predefined credit events occur, the nominal amount will decrease by a predefined percentage (see credit event exposure in key definitions below). Meaning, additional credit events will have a bigger impact on the redemption amount than their basket participation. This is a zero recovery note. </t>
  </si>
  <si>
    <t xml:space="preserve">This is a credit linked note linked to the number of credit events in a basket. The note will pay a fixed interest for a set number of interest payment dates, calculated on the adjusted nominal amount. For the forthcoming interest payment dates, the note will pay a floating interest calculated on the adjusted nominal amount. The note has a buffer, meaning that a predefined number of credit events doesn´t affect the nominal amount. If more than the predefined credit events occur, the nominal amount will decrease by a predefined percentage (see credit event exposure in key definitions below). Meaning, additional credit events will have a bigger impact on the redemption amount than their basket participation. This is a zero recovery note. </t>
  </si>
  <si>
    <t xml:space="preserve">This is a credit linked note linked to the number of credit events in a basket. The note will pay a fixed interest for a set interest of interest payment dates, calculated on the adjusted nominal amount. For the forthcoming interest payment dates, the note will pay a floating interest (reference rate multiplied by the gearing factor) calculated on the adjusted nominal amount. The note has a buffer, meaning that a predefined number of credit events doesn´t affect the nominal amount. If more than the predefined credit events occur, the nominal amount will decrease by a predefined percentage (see credit event exposure in key definitions below). Meaning, additional credit events will have a bigger impact on the redemption amount than their basket participation. This is a zero recovery note. </t>
  </si>
  <si>
    <t xml:space="preserve">This is a credit linked note linked to one underlying asset. If no credit event occur, the note will pay a floating interest on all interest payment dates and nominal amount at maturity. In the event of a credit event, the note will terminate and pay nominal amount x market recovery value. Interest will be paid to the date of the credit event. </t>
  </si>
  <si>
    <t xml:space="preserve">This is a credit linked note linked to one underlying asset. If no credit event occur, the note pays a floating interest (interest margin plus reference rate) calculated on the nominal amount, on every interest payment date. If no credit event occur in the underlying asset during the observation period the note will pay the nominal amount on the redemption date. In the event of a credit event, the note will terminate and the redemption amount will be zero. Interest will be paid to and including the date of the credit event. </t>
  </si>
  <si>
    <t xml:space="preserve">This is a first to default credit linked note linked to a basket of reference entities. In the event of no credit events, the note pays a floating interest on every interest payment date and nominal amount at maturity. In the event of a credit event, the note will not pay any more interest and the note will pay nominal amount x market recovery. </t>
  </si>
  <si>
    <t xml:space="preserve">The objective is to invest in a credit linked note with floating interest payments. </t>
  </si>
  <si>
    <t xml:space="preserve">The objective is to invest in a credit linked note with floating interest payments and a high target redemption amount. </t>
  </si>
  <si>
    <t xml:space="preserve">The objective is to invest in a credit linked note with fixed and floating interest payments. </t>
  </si>
  <si>
    <t>The return of the investment depends on whether a credit event occurs in any of the underlying assets during the observation period. Bankruptcy, failure to pay, restructuring and governmental intervention are examples that could constitute a credit event.</t>
  </si>
  <si>
    <t>The note will pay a floating interest (interest margin plus reference rate), calculated on the adjusted nominal amount, on each interest payment date.</t>
  </si>
  <si>
    <t>The note pays a fixed interest (interest margin), calculated on the adjusted nominal amount, and a floating interest (reference rate), calculated on the nominal amount, on each interest payment date.</t>
  </si>
  <si>
    <r>
      <t>The note will pay a fixed interest for a set number of interest payment dates, calculated on t</t>
    </r>
    <r>
      <rPr>
        <sz val="11"/>
        <rFont val="Calibri"/>
        <family val="2"/>
      </rPr>
      <t>he adjusted</t>
    </r>
    <r>
      <rPr>
        <sz val="11"/>
        <color theme="1"/>
        <rFont val="Calibri"/>
        <family val="2"/>
      </rPr>
      <t xml:space="preserve"> nominal amount. For the forthcoming interest payment dates, the note will pay a floating interest (interest margin plus reference rate) calculated on the </t>
    </r>
    <r>
      <rPr>
        <sz val="11"/>
        <rFont val="Calibri"/>
        <family val="2"/>
      </rPr>
      <t xml:space="preserve">adjusted nominal amount. </t>
    </r>
  </si>
  <si>
    <t xml:space="preserve">The note will pay a fixed interest for a set number of interest payment dates, calculated on the adjusted nominal amount. For the forthcoming interest payment dates, the note will pay a floating interest (interest margin plus reference rate) calculated on the adjusted nominal amount. </t>
  </si>
  <si>
    <t xml:space="preserve">The note will pay a fixed interest for a set number of interest payment dates, calculated on the adjusted nominal amount. For the forthcoming interest payment dates, the note will pay a floating interest (reference rate multiplied by the gearing factor) calculated on the adjusted nominal amount. The floating interest has a yearly cap and floor. </t>
  </si>
  <si>
    <r>
      <t>The note will pay a fixed interest for a set number of interest payment dates, calculated on t</t>
    </r>
    <r>
      <rPr>
        <sz val="11"/>
        <rFont val="Calibri"/>
        <family val="2"/>
      </rPr>
      <t>he adjusted</t>
    </r>
    <r>
      <rPr>
        <sz val="11"/>
        <color theme="1"/>
        <rFont val="Calibri"/>
        <family val="2"/>
      </rPr>
      <t xml:space="preserve"> nominal amount. For the forthcoming interest payment dates, the note will pay a floating interest (interest margin plus reference rate) calculated on the </t>
    </r>
    <r>
      <rPr>
        <sz val="11"/>
        <rFont val="Calibri"/>
        <family val="2"/>
      </rPr>
      <t xml:space="preserve">adjusted nominal amount. The floating interest has a yearly cap and floor. </t>
    </r>
  </si>
  <si>
    <r>
      <t>The note will pay a floating interest (interest margin plus reference rate), calculated on the nominal amount, on each interest payment date.</t>
    </r>
    <r>
      <rPr>
        <sz val="11"/>
        <color theme="7" tint="0.39997558519241921"/>
        <rFont val="Calibri"/>
        <family val="2"/>
      </rPr>
      <t xml:space="preserve"> The floating interest has a yearly cap and floor. </t>
    </r>
  </si>
  <si>
    <r>
      <t>T</t>
    </r>
    <r>
      <rPr>
        <sz val="11"/>
        <rFont val="Calibri"/>
        <family val="2"/>
      </rPr>
      <t>he note will pay a fixed interest for a set number of interest payment dates, calculated on the adjusted</t>
    </r>
    <r>
      <rPr>
        <sz val="11"/>
        <color theme="1"/>
        <rFont val="Calibri"/>
        <family val="2"/>
      </rPr>
      <t xml:space="preserve"> nominal amount. For the forthcoming interest payment dates, the note will pay a floating interest (interest margin plus reference rate) calculated on the </t>
    </r>
    <r>
      <rPr>
        <sz val="11"/>
        <rFont val="Calibri"/>
        <family val="2"/>
      </rPr>
      <t xml:space="preserve">adjusted nominal amount. </t>
    </r>
  </si>
  <si>
    <t xml:space="preserve">The note will pay a fixed interest for a set number of interest payment dates, calculated on the adjusted nominal amount. For the forthcoming interest payment dates, the note will pay a floating interest (reference rate multiplied by the gearing factor) calculated on the adjusted nominal amount. </t>
  </si>
  <si>
    <t>If no credit event occur in the underlying asset during the observation period, the note will pay a floating interest (interest margin plus reference rate), calculated on the nominal amount, on each interest payment date. On the redemption date the note will pay the nominal amount.</t>
  </si>
  <si>
    <t>If no credit event occur, the note pays a floating interest (interest margin plus reference rate) calculated on the nominal amount, on every interest payment date.</t>
  </si>
  <si>
    <t>If no credit events occur in the underlying assets during the observation period, the note will pay a floating interest (interest margin plus reference rate), calculated on the nominal amount, on each interest payment date and the nominal amount on the redemption date.</t>
  </si>
  <si>
    <t xml:space="preserve">If not more than a predefined percentage of credit events (the buffer) occur in the underlying assets during the observation period, the note will pay the nominal amount on the redemption date. The buffer is defined as a percentage, and in case of a credit event the buffer will decrease by the company's weight in the basket multiplied by 1 minus the market recovery value. </t>
  </si>
  <si>
    <t xml:space="preserve">If a credit event occurs in the underlying asset during the observation period, the note will terminate and pay nominal amount multiplied by the market recovery value of the defaulted entity. Interest will be paid to the date of the credit event. </t>
  </si>
  <si>
    <t>If no credit event occur in the underlying asset during the observation period the note will pay the nominal amount on the redemption date.</t>
  </si>
  <si>
    <t xml:space="preserve">If a credit event occurs in any of the underlying assets during the observation period, the interest payments will terminate and the note will pay the nominal amount multiplied by the market recovery value of the defaulted entity(ies). </t>
  </si>
  <si>
    <t>If one or more credit event occurs in the underlying assets during the observation period, each credit event will decrease the nominal amount by a predefined percentage for each underlying asset. The market recovery value of the defaulted entity(ies) and the adjusted nominal amount will be paid on the redemption date .</t>
  </si>
  <si>
    <r>
      <t xml:space="preserve">If one or more credit events occur in the underlying assets during the observation period, each credit event will decrease the nominal amount by a predefined percentage for each underlying asset. The note will pay the adjusted nominal amount on the redemption date. </t>
    </r>
    <r>
      <rPr>
        <sz val="11"/>
        <color rgb="FFFF0000"/>
        <rFont val="Calibri"/>
        <family val="2"/>
      </rPr>
      <t/>
    </r>
  </si>
  <si>
    <t>If the percentage of credit events exceeds the buffer, each additional credit event will decrease the nominal amount by the company's weight in the basket multiplied by 1 minus the market recovery value multiplied by the nominal amount. The note will pay the adjusted nominal amount on the redemption date.</t>
  </si>
  <si>
    <t>If a credit event occur in the underlying asset during the observation period, the note will terminate and the redemption amount will be zero. Interest will be paid to the date of the credit event.</t>
  </si>
  <si>
    <t>Gearing factor</t>
  </si>
  <si>
    <t>Floor</t>
  </si>
  <si>
    <t>OK</t>
  </si>
  <si>
    <t>SE0004298115</t>
  </si>
  <si>
    <t>FI4000053384</t>
  </si>
  <si>
    <t>FI4000069869</t>
  </si>
  <si>
    <t>SE0005095510</t>
  </si>
  <si>
    <t>SE0006599619</t>
  </si>
  <si>
    <t>FI4000053459 - buffer</t>
  </si>
  <si>
    <t>FI4000052782 - buffer</t>
  </si>
  <si>
    <t>SE0004873214</t>
  </si>
  <si>
    <t>FI4000149554</t>
  </si>
  <si>
    <t>SE0004899888</t>
  </si>
  <si>
    <t>FI4000149034</t>
  </si>
  <si>
    <t>FI4000149141</t>
  </si>
  <si>
    <t>FI4000149257</t>
  </si>
  <si>
    <t>XS0937877818</t>
  </si>
  <si>
    <t>FI4000069372</t>
  </si>
  <si>
    <t>FI4000069778</t>
  </si>
  <si>
    <t>SE0004869303</t>
  </si>
  <si>
    <t>Credit overlay 1</t>
  </si>
  <si>
    <t>Credit overlay 2</t>
  </si>
  <si>
    <t>Credit overlay 3</t>
  </si>
  <si>
    <t>Credit overlay 4</t>
  </si>
  <si>
    <t>Credit overlay 5</t>
  </si>
  <si>
    <t>Credit overlay 6</t>
  </si>
  <si>
    <t>Credit overlay 7</t>
  </si>
  <si>
    <t>Credit overlay 8</t>
  </si>
  <si>
    <t>Credit overlay 9</t>
  </si>
  <si>
    <t>Credit overlay 10</t>
  </si>
  <si>
    <t>Credit overlay 11</t>
  </si>
  <si>
    <t>Credit overlay 12</t>
  </si>
  <si>
    <t>Credit overlay 13</t>
  </si>
  <si>
    <t>Credit overlay 14</t>
  </si>
  <si>
    <t>Credit overlay 15</t>
  </si>
  <si>
    <t>Credit overlay 16</t>
  </si>
  <si>
    <t>Credit overlay 17</t>
  </si>
  <si>
    <t>Basket of credits + single underlying equity index</t>
  </si>
  <si>
    <t>Basket of credits + single underlying fund</t>
  </si>
  <si>
    <t>Basket of credits +Multi underlying (relative difference between two underlying assets)</t>
  </si>
  <si>
    <t>Basket of credits + fund</t>
  </si>
  <si>
    <t>Tranched equity</t>
  </si>
  <si>
    <t>Tranched mezzanine (buffer)</t>
  </si>
  <si>
    <t>Tranche senior/Tranced mezz (buffer)</t>
  </si>
  <si>
    <t>Tranche senior/tranche mezz(buffer)</t>
  </si>
  <si>
    <t>Zero coupon (maximum redemption)</t>
  </si>
  <si>
    <t>Level 7</t>
  </si>
  <si>
    <t xml:space="preserve">Floor and cap - CMS Spread </t>
  </si>
  <si>
    <t xml:space="preserve">This is a product, whose return depends both on the number of credit events in a credit basket and the performance of a basket of equities. The basket of equities has a participation ratio and is affected by currency fluctuations. The note also has a target redemption amount and does not pay any recovery. In case of a credit event, the target redemption amount is decreased by a predefined percentage for each underlying asset. The note pays a guaranteed fixed interest, calculated on the nominal amount. </t>
  </si>
  <si>
    <t>This is a product, whose return depends both on the number of credit events in a credit basket and the performance of a basket of equities. The basket of equities has a participation ratio. If no credit event occurs, the investor will receive nominal amount on the redemption date. In case of a credit event, the nominal amount is decreased by a predefined percentage for each underlying asset.</t>
  </si>
  <si>
    <t>This is a product, whose return depends both on the number of credit events in a credit basket and the performance of a basket of equities. The basket of equities has a participation ratio. If no credit event occurs, the investor will receive nominal amount on the redemption date. In case of a credit event, the nominal amount is decreased by a predefined percentage (see credit event exposure in key definitions below) for each credit event.</t>
  </si>
  <si>
    <t>This is a product, whose return depends both on the number of credit events in a credit basket and the performance of a basket of equities. The credit basket has a buffer and zero recovery if any credit event occurs. The basket of equities has a participation ratio. If more than the predefined credit events occurs, the redemption amount will decrease by a predefined percentage (see credit event exposure in key definitions below) for each credit event. The note pays a fixed guaranteed interest, calculated on the nominal amount.</t>
  </si>
  <si>
    <t>This is a product, whose return depends both on the number of credit events in a credit basket and the performance of a basket of equities. The credit basket has a buffer and zero recovery if any credit event occurs. The basket of equities has a participation ratio and is affected by currency fluctuations. If more than the predefined credit events occurs, the redemption amount will decrease by a predefined percentage (see credit event exposure in key definitions below) for each credit event.</t>
  </si>
  <si>
    <t>This is a product, whose return depends both on the number of credit events in a credit basket and the performance of a basket of equities. The credit basket has a buffer and zero recovery if any credit event occurs. The basket of equities has a participation ratio. If more than the predefined credit events occurs, the redemption amount will decrease by a predefined percentage (see credit event exposure in key definitions below) for each credit event.</t>
  </si>
  <si>
    <t>This is a product, whose return depends both on the number of credit events in a credit basket and the performance of a basket of equities. The credit basket has a buffer and zero recovery if any credit event occurs. The basket of equities has a participation ratio and is affected by currency fluctuations. If more than the predefined credit events occurs, the redemption amount will decrease by a predefined percentage (see credit event exposure in key definitions below) for each credit event. The note pays a fixed guaranteed interest, calculated on the nominal amount.</t>
  </si>
  <si>
    <t xml:space="preserve">This is a product, whose return depends both on the number of credit events in a credit basket and the performance of a basket of equities. The basket of equities has a participation ratio and is affected by currency fluctuations. In case of a credit event, the target redemption amount is decreased by one divided by the number of underlying assets in the credit basket. The note pays a fixed guaranteed interest, calculated on the nominal amount. </t>
  </si>
  <si>
    <t>This is a product, whose return depends both on the number of credit events in a credit basket and the performance of a basket of equities. The equity basket performance has a cap. The credit basket has a buffer and zero recovery if any credit events occurs. The basket of equities has a participation ratio. If more than the predefined credit events occurs, the redemption amount will decrease by a predefined percentage (see credit event exposure in key definitions below) for each credit event.</t>
  </si>
  <si>
    <t>This is a product, whose return depends both on the number of credit events in a credit basket and the performance of a basket of equities. The credit basket has a buffer and zero recovery if any credit event occurs. The basket of equities has a participation ratio and is affected by currency fluctuations. If more than the predefined credit events occurs, the redemption amount will decrease by a predefined percentage (see credit event exposure in key definitions below) for each credit event. The note pays a floating guaranteed interest, calculated on the nominal amount.</t>
  </si>
  <si>
    <t>This is a product, whose return depends both on the number of credit events in a credit basket and the performance of an underlying equity index. The underlying equity index has a participation ratio. If no credit event occurs, the investor will receive nominal amount on the redemption date. In case of a credit event, the nominal amount is decreased by a predefined percentage (see credit event exposure in key definitions below) for each credit event.</t>
  </si>
  <si>
    <t>This is a product, whose return depends both on the number of credit events in a credit basket and the performance of an underlying equity index. The underlying equity index has a participation ratio. If no credit event occurs, the investor will receive nominal amount on the redemption date. In case of a credit event, the nominal amount is decreased by a predefined percentage for each underlying asset.</t>
  </si>
  <si>
    <t>This is a product, whose return depends both on the number of credit events in a credit basket and the performance of a basket of equities. The basket of equities has a participation ratio and is affected by currency fluctuations. If no credit event occurs, the investor will receive nominal amount on the redemption date. In case of a credit event, the nominal amount is decreased by a predefined percentage for each underlying asset.</t>
  </si>
  <si>
    <t>This is a product, whose return depends both on the number of credit events in a credit basket and the performance of an underlying fund. The credit basket has a buffer and zero recovery if any credit event occurs. The basket underlying fund has a participation ratio. If more than the predefined credit events occurs, the redemption amount will decrease by a predefined percentage (see credit event exposure in key definitions below) for each credit event.</t>
  </si>
  <si>
    <t>This is a product whose return depends both on the number of credit events in a credit basket and the relative difference between two underlying assets. The note will pay a fixed coupon for a set number of interest payment dates, calculated on the nominal amount. For the forthcoming interest payment dates, the note will pay a floating interest, calculated as the relative difference (taking into account a floor and the cap) x participation ratio x the nominal amount. If no credit event occurs, the investor will receive the nominal amount on the redemption date. In case of a credit event, the nominal amount is decreased by a predefined percentage for each underlying asset.</t>
  </si>
  <si>
    <t xml:space="preserve">This is a product, whose return depends both on the number of credit events in a credit basket and the performance of a basket of equities. The credit basket has a buffer and zero recovery if any credit event occurs. The basket of equities has a participation ratio. If more than the predefined credit events occurs the target redemption amount is decreased by a predefined percentage for each underlying asset. </t>
  </si>
  <si>
    <t>This is a product, whose return depends both on the number of credit events in a credit basket and the performance of a fund strategy. The fund has a participation ratio. If no credit event occurs, the investor will receive nominal amount on the redemption date. In case of a credit event, the nominal amount is decreased by a predefined percentage for each underlying asset.</t>
  </si>
  <si>
    <t xml:space="preserve">The objective is to invest in a note that will pay fixed coupons, and could pay a high redemption amount. </t>
  </si>
  <si>
    <t>The objective is to invest in a note that could give a high redemption amount.</t>
  </si>
  <si>
    <t xml:space="preserve">This is a product, whose return depends both on the number of credit events in a credit basket and the performance of a basket of equities. Bankruptcy, failure to pay, restructuring and governmental intervention are examples that could constitute a credit event. </t>
  </si>
  <si>
    <t>This is a product, whose return depends both on the number of credit events in a credit basket and the performance of a basket of equities. Bankruptcy, failure to pay, restructuring and governmental intervention are examples that could constitute a credit event.</t>
  </si>
  <si>
    <t xml:space="preserve">This is a product, whose return depends both on the number of credit events in a credit basket and the performance of an underlying equity index. Bankruptcy, failure to pay, restructuring and governmental intervention are examples that could constitute a credit event. </t>
  </si>
  <si>
    <t>This is a product, whose return depends both on the number of credit events in a credit basket and the performance of an underlying fund. Bankruptcy, failure to pay, restructuring and governmental intervention are examples that could constitute a credit event.</t>
  </si>
  <si>
    <t xml:space="preserve">This is a product, whose return depends both on the number of credit events in a credit basket and the relative difference between two underlying reference rates. If the underlying credit basket has an unfavourable performance, some or all amount invested will be lost. </t>
  </si>
  <si>
    <t xml:space="preserve">This is a product, whose return depends both on the number of credit events in a credit basket and the performance of a fund strategy. Bankruptcy, failure to pay, restructuring and governmental intervention are examples that could constitute a credit event. </t>
  </si>
  <si>
    <t xml:space="preserve">If no credit event occurs in the underlying credit basket during the observation period, the note will pay the nominal amount plus any possible return from the equity basket on the redemption date. </t>
  </si>
  <si>
    <t xml:space="preserve">If not more than a predefined percentage of credit events (the buffer) occur in the underlying credit basket during the observation period, the note will pay the nominal amount plus any possible return from the equity basket on the redemption date. </t>
  </si>
  <si>
    <t>The note will pay a floating interest (reference rate), calculated on the nominal amount, on every interest payment date.</t>
  </si>
  <si>
    <t xml:space="preserve">If no credit event occurs in the underlying credit basket during the observation period, the note will pay the nominal amount plus any possible return from the equity index on the redemption date. </t>
  </si>
  <si>
    <t xml:space="preserve">If not more than a predefined percentage of credit events (the buffer) occur in the underlying credit basket during the observation period, the note will pay the nominal amount plus any possible return from the underlying fund on the redemption date. </t>
  </si>
  <si>
    <t>The note will pay a fixed coupon for a set number of interest payment dates, calculated on the nominal amount. For the forthcoming interest payment dates, the note will pay a floating coupon calculated as the nominal amount multiplied by the relative difference between two underlying reference rates (taking into account a floor and the cap) multiplied by the participation ratio.</t>
  </si>
  <si>
    <r>
      <t xml:space="preserve">If not more than a predefined percentage of credit events (the buffer) occur in the underlying credit basket during the observation period, the note will pay the target redemption </t>
    </r>
    <r>
      <rPr>
        <sz val="11"/>
        <color rgb="FFFF0000"/>
        <rFont val="Calibri"/>
        <family val="2"/>
      </rPr>
      <t>amount</t>
    </r>
    <r>
      <rPr>
        <sz val="11"/>
        <rFont val="Calibri"/>
        <family val="2"/>
      </rPr>
      <t xml:space="preserve"> plus any possible return from the equity basket on the redemption date. </t>
    </r>
  </si>
  <si>
    <t xml:space="preserve">If no credit event occurs in the underlying credit basket during the observation period, the note will pay the target redemption amount plus any possible return from the equity basket on the redemption date. </t>
  </si>
  <si>
    <t>If one or more credit events occur in the underlying credit basket during the observation period, each credit event will decrease the nominal amount by a predefined percentage for each underlying asset.</t>
  </si>
  <si>
    <t>If one or more credit events occur in the underlying credit basket during the observation period, each credit event will decrease the nominal amount by a predefined percentage (see credit event exposure in key definitions below).</t>
  </si>
  <si>
    <t>If the percentage of credit events exceeds the buffer, each additional credit event will decrease the nominal amount by a predefined percentage (see credit event exposure in key definitions below).</t>
  </si>
  <si>
    <t xml:space="preserve">If no credit event occurs in the underlying credit basket during the observation period, the note will pay the nominal amount on the redemption date. </t>
  </si>
  <si>
    <t>If the percentage of credit events exceeds the buffer, each additional credit event will decrease the target redemption amount by a predefined percentage (see credit event exposure in key definitions below).</t>
  </si>
  <si>
    <t xml:space="preserve">If no credit event occurs in the underlying credit basket during the observation period, the note will pay the nominal amount plus any possible return from the fund strategy on the redemption date. </t>
  </si>
  <si>
    <t>If one or more credit event occurs in the underlying credit basket during the observation period, each credit event will decrease the target redemption amount by a predefined percentage for each underlying asset.</t>
  </si>
  <si>
    <t xml:space="preserve">If the underlying basket of equities has a positive performance, the note will pay the adjusted nominal amount plus the nominal amount multiplied by the performance of the basket multiplied by the participation ratio on the redemption date. </t>
  </si>
  <si>
    <t>If the underlying basket of equities has a positive performance, the note will pay the adjusted nominal amount plus the nominal amount multiplied by the performance of the basket multiplied by the participation ratio on the redemption date. Currency fluctuations will also affect the return of the investment.</t>
  </si>
  <si>
    <t>If one or more credit event occurs in the underlying credit basket during the observation period, each credit event will decrease the nominal amount by a predefined percentage for each underlying asset.</t>
  </si>
  <si>
    <t xml:space="preserve">If the underlying basket of equities has a positive performance, the note will pay the adjusted nominal amount plus the nominal amount multiplied by the performance of the basket multiplied by the participation ratio on the redemption date. The basket performance has a cap. </t>
  </si>
  <si>
    <t xml:space="preserve">If the underlying equity index has a positive performance, the note will pay the adjusted nominal amount plus the nominal amount multiplied by the performance of the index multiplied by the participation ratio on the redemption date. </t>
  </si>
  <si>
    <t xml:space="preserve">If the underlying fund has a positive performance, the note will pay the adjusted nominal amount plus the nominal amount multiplied by the performance of the fund multiplied by the participation ratio on the redemption date. </t>
  </si>
  <si>
    <t>If one or more credit events occur in the underlying credit basket during the observation period, each credit event will decrease the nominal amount by a predefined percentage for each underlying asset. The note will then pay the adjusted nominal amount on the redemption date.</t>
  </si>
  <si>
    <t xml:space="preserve">If the underlying basket of equities has a positive performance, the note will pay the adjusted target redemption amount plus the nominal amount multiplied by the performance of the basket multiplied by the participation ratio, on the redemption date. </t>
  </si>
  <si>
    <t>If the underlying basket of equities has a positive performance, the note will pay the adjusted target redemption amount plus the nominal amount multiplied by the performance of the basket multiplied by the participation ratio on the redemption date. Currency fluctuations will also affect the return of the investment.</t>
  </si>
  <si>
    <t xml:space="preserve">If the underlying basket of equities has a negative performance, the note will pay the adjusted nominal amount on the redemption date. </t>
  </si>
  <si>
    <t xml:space="preserve">If the underlying equity index has a negative performance, the note will pay the adjusted nominal amount on the redemption date. </t>
  </si>
  <si>
    <t xml:space="preserve">If the underlying fund has a negative performance, the note will pay the adjusted nominal amount on the redemption date. </t>
  </si>
  <si>
    <t xml:space="preserve">If the underlying basket of equities has a negative performance, the note will pay the adjusted target redemption amount, on the redemption date. </t>
  </si>
  <si>
    <t xml:space="preserve">If the underlying fund strategy has a positive performance, the note will pay the adjusted nominal amount plus the nominal amount multiplied by the performance of the fund strategy multiplied by the participation ratio, on the redemption date. </t>
  </si>
  <si>
    <t xml:space="preserve">If the underlying basket of equities has a negative performance, the note will pay the adjusted target redemption amount on the redemption date. </t>
  </si>
  <si>
    <t xml:space="preserve">If the underlying fund strategy has a negative performance, the note will pay the adjusted nominal amount on the redemption date. </t>
  </si>
  <si>
    <t>Performance Floor</t>
  </si>
  <si>
    <t>Performance Cap</t>
  </si>
  <si>
    <t>Number of underlyings in credit basket</t>
  </si>
  <si>
    <t xml:space="preserve">Number of underlyings in credit basket credits </t>
  </si>
  <si>
    <t>Certificate 1</t>
  </si>
  <si>
    <t>Certificate 2</t>
  </si>
  <si>
    <t>Certificate 3</t>
  </si>
  <si>
    <t>Certificate 4</t>
  </si>
  <si>
    <t>Certificate 5</t>
  </si>
  <si>
    <t>Certificate 6</t>
  </si>
  <si>
    <t>Certificate 7</t>
  </si>
  <si>
    <t>Certificate 8</t>
  </si>
  <si>
    <t>BULL</t>
  </si>
  <si>
    <t>BEAR</t>
  </si>
  <si>
    <t>No flexo</t>
  </si>
  <si>
    <t>Open end</t>
  </si>
  <si>
    <t>Adjusted for dividend</t>
  </si>
  <si>
    <t>Leverage &gt;1</t>
  </si>
  <si>
    <t>Leverage = 1</t>
  </si>
  <si>
    <t>Leverage =1</t>
  </si>
  <si>
    <t>Leverage &lt;1</t>
  </si>
  <si>
    <r>
      <t xml:space="preserve">This is a non-capital protected issue with one underlying asset. The performance of the note will be </t>
    </r>
    <r>
      <rPr>
        <b/>
        <sz val="11"/>
        <color theme="1"/>
        <rFont val="Calibri"/>
        <family val="2"/>
      </rPr>
      <t xml:space="preserve">the daily </t>
    </r>
    <r>
      <rPr>
        <sz val="11"/>
        <color theme="1"/>
        <rFont val="Calibri"/>
        <family val="2"/>
      </rPr>
      <t xml:space="preserve">performance of the underlying asset multiplied by the predefined leverage. If the negative performance, on one single day, multiplied by the leverage is 100 or higher, the note will mature and all amount invested will be lost.  </t>
    </r>
  </si>
  <si>
    <r>
      <t xml:space="preserve">This is a non-capital protected issue with one underlying asset. The performance of the note will be </t>
    </r>
    <r>
      <rPr>
        <b/>
        <sz val="11"/>
        <color theme="1"/>
        <rFont val="Calibri"/>
        <family val="2"/>
      </rPr>
      <t>the daily</t>
    </r>
    <r>
      <rPr>
        <sz val="11"/>
        <color theme="1"/>
        <rFont val="Calibri"/>
        <family val="2"/>
      </rPr>
      <t xml:space="preserve"> performance of the underlying asset multiplied by the predefined leverage. If the negative performance, on one single day, multiplied by the leverage is 100 or higher, the note will mature and all amount invested will be lost. Currency fluctuations will also affect the performance of the note.  </t>
    </r>
  </si>
  <si>
    <t xml:space="preserve">This is a non-capital protected issue with one underlying asset. The price of the note follows the performance of the underlying asset, meaning that the price of the note increases when the price of the underlying asset increases, and decrease when the price of the underlying asset decreases. </t>
  </si>
  <si>
    <t xml:space="preserve">This is a non-capital protected issue with one underlying asset. The price of the note follows the performance of the underlying asset, meaning that the price of the note increases when the price of the underlying asset increases, and decrease when the price of the underlying asset decreases. Currency fluctuations will also affect the performance of the note. </t>
  </si>
  <si>
    <t xml:space="preserve">This is a non-capital protected issue with one underlying asset. The performance of the note will be the reversed daily performance of the underlying asset multiplied by the predefined leverage. If the positive performance in the underlying asset, on one single day, multiplied by the leverage is 100 or higher, the note will mature and all amount invested will be lost.  </t>
  </si>
  <si>
    <t xml:space="preserve">This is a non-capital protected issue with one underlying asset. The performance of the note will be the reversed daily performance of the underlying asset multiplied by the predefined leverage. If the positive performance in the underlying asset, on one single day, multiplied by the leverage is 100 or higher, the note will mature and all amount invested will be lost. Currency fluctuations will also affect the performance of the note.  </t>
  </si>
  <si>
    <t>Constant Leverage Certificate</t>
  </si>
  <si>
    <t>Tracker</t>
  </si>
  <si>
    <t>The objective is to invest in a note that, on a daily basis, will give you a high leverage.</t>
  </si>
  <si>
    <t>The objective is to invest in a note that will follow the underlying asset.</t>
  </si>
  <si>
    <t xml:space="preserve">The objective is to invest in a note that, on a daily basis, benefits from a falling market with a high leverage. </t>
  </si>
  <si>
    <t xml:space="preserve">The objective is to invest in a note that, on a daily basis, benefits from a falling market. </t>
  </si>
  <si>
    <t xml:space="preserve">The return of the investment depends on the performance of the underlying asset. The price of the note will be adjusted for dividends in the underlying asset. </t>
  </si>
  <si>
    <t xml:space="preserve">The performance of the note will be the daily performance of the underlying asset multiplied by the predefined leverage. This means that the price of the note increases when the price of the underlying asset increases, and decrease when the price of the underlying asset decreases. If the negative performance, on one single day, multiplied by the leverage is 100 or higher, the note will mature and all amount invested will be lost.  </t>
  </si>
  <si>
    <t xml:space="preserve">The performance of the note will be the daily performance of the underlying asset multiplied by the predefined leverage. This means that the price of the note increases when the price of the underlying asset increases, and decrease when the price of the underlying asset decreases. Currency fluctuations will also affect the performance of the investment. If the negative performance, on one single day, multiplied by the leverage is 100 or higher, the note will mature and all amount invested will be lost. </t>
  </si>
  <si>
    <t xml:space="preserve">The price of the note follows the performance of the underlying asset, meaning that the price of the note increases when the price of the underlying asset increases, and decrease when the price of the underlying asset decreases. </t>
  </si>
  <si>
    <t xml:space="preserve">The price of the note follows the performance of the underlying asset, meaning that the price of the note increases when the price of the underlying asset increases, and decrease when the price of the underlying asset decreases. Currency fluctuations will also affect the performance of the investment.  </t>
  </si>
  <si>
    <t>The performance of the note will be the reversed daily performance of the underlying asset multiplied by the predefined leverage. This means that the price of the note increases when the price of the underlying asset decreases, and decrease when the price of the underlying asset increases. If the positive performance in the underlying asset, on one single day, multiplied by the leverage is 100 or higher, the note will mature and all amount invested will be lost.</t>
  </si>
  <si>
    <t>The performance of the note will be the reversed daily performance of the underlying asset multiplied by the predefined leverage. This means that the price of the note increases when the price of the underlying asset decreases, and decrease when the price of the underlying asset increases. Currency fluctuations will also affect the performance of the investment. If the positive performance in the underlying asset, on one single day, multiplied by the leverage is 100 or higher, the note will mature and all amount invested will be lost.</t>
  </si>
  <si>
    <t>The performance of the note will be the reversed daily performance of the underlying asset, meaning that the price of the note increases when the price of the underlying asset decreases, and decrease when the price of the underlying asset increases.  If the positive performance in the underlying asset, on one single day, multiplied by the leverage is 100 or higher, the note will mature and all amount invested will be lost.</t>
  </si>
  <si>
    <t>The performance of the note will be the reversed daily performance of the underlying asset, meaning that the price of the note increases when the price of the underlying asset decreases, and decrease when the price of the underlying asset increases. Currency fluctuations will also affect the performance of the investment. If the positive performance in the underlying asset, on one single day, multiplied by the leverage is 100 or higher, the note will mature and all amount invested will be lost.</t>
  </si>
  <si>
    <t>Currency</t>
  </si>
  <si>
    <t>Type(Sell/buy)</t>
  </si>
  <si>
    <t>Leverage</t>
  </si>
  <si>
    <t>Warrant 1</t>
  </si>
  <si>
    <t>Warrant 2</t>
  </si>
  <si>
    <t>Warrant 3</t>
  </si>
  <si>
    <t>Warrant 4</t>
  </si>
  <si>
    <t>PUT</t>
  </si>
  <si>
    <t>CALL</t>
  </si>
  <si>
    <t>Asian end</t>
  </si>
  <si>
    <t>No Asian end</t>
  </si>
  <si>
    <t>Not adjusted for dividend</t>
  </si>
  <si>
    <t>European warrant</t>
  </si>
  <si>
    <t>Cash settlement</t>
  </si>
  <si>
    <t xml:space="preserve">This is a non-capital protected note with one underlying asset. If, on the valuation date, the underlying asset is below the strike price the note will pay (strike price - closing price), on the redemption date. If, on the valuation date, the underlying asset is at or above the strike price, all amount invested will be lost. Closing price will be determined during an asian period. </t>
  </si>
  <si>
    <t>This is a non-capital protected note with one underlying asset. If, on the valuation date, the underlying asset is below the strike price the note will pay (strike price - closing price), on the redemption date. If, on the valuation date, the underlying asset is at or above the strike price, all amount invested will be lost. No asian period.</t>
  </si>
  <si>
    <t xml:space="preserve">This is a non-capital protected note with one underlying asset. If, on the valuation date, the underlying asset is above the strike price the note will pay (closing price - strike price), on the redemption date. If, on the valuation date, the underlying asset is at or below the strike price, all amount invested will be lost. Closing price will be determined during an asian period. </t>
  </si>
  <si>
    <t>This is a non-capital protected note with one underlying asset. If, on the valuation date, the underlying asset is above the strike price the note will pay (closing price - strike price), on the redemption date. If, on the valuation date, the underlying asset is at or below the strike price, all amount invested will be lost. No asian end.</t>
  </si>
  <si>
    <t xml:space="preserve">The objective is to invest in a warrant, which will give a much higher return than the underlying asset, when the price of the underlying asset is falling.   </t>
  </si>
  <si>
    <t xml:space="preserve">The objective is to invest in a warrant, which will give a much higher return than the underlying asset, when the price of the underlying asset is rising.   </t>
  </si>
  <si>
    <t xml:space="preserve">The return of the investment depends on how the underlying asset develops during the lifetime of the investment. </t>
  </si>
  <si>
    <t>If, on the valuation date, the closing price of the underlying asset is below the strike price the note will pay the strike price minus the closing price divided by the number of warrants per underlying, on the redemption date. The note does not pay any dividends from the underlying asset.</t>
  </si>
  <si>
    <t>If, on the valuation date, the closing price of the underlying asset is above the strike price the note will pay the closing price minus the strike price divided by the number of warrants per underlying, on the redemption date. The note does not pay any dividends from the underlying asset.</t>
  </si>
  <si>
    <t>If, on the valuation date, the closing price of the underlying asset is at or above the strike price, all amount invested will be lost.</t>
  </si>
  <si>
    <t>If, on the valuation date, the closing price of the underlying asset is at or below the strike price, all amount invested will be lost.</t>
  </si>
  <si>
    <t>Closing price for the underlying asset will be the average closing price during a predefined period.</t>
  </si>
  <si>
    <t>Strike price</t>
  </si>
  <si>
    <t>Warrants per underlying</t>
  </si>
  <si>
    <t>Mini future 1</t>
  </si>
  <si>
    <t>Mini future 2</t>
  </si>
  <si>
    <t>Mini future 3</t>
  </si>
  <si>
    <t>Mini future 4</t>
  </si>
  <si>
    <t>Long</t>
  </si>
  <si>
    <t>Short</t>
  </si>
  <si>
    <t>Stop-loss</t>
  </si>
  <si>
    <t>Financing level = strike price</t>
  </si>
  <si>
    <t>This is a non-capital protected issue with one underlying asset. The price of the note will increase when the price of the underlying asset increases, and decrease when the price of the underlying asset decreases. If the underlying asset is at or below the stop-loss level, the investment will redeem early and some or all amount invested will be lost. The stop-loss level and the financing level will be adjusted on a daily basis. The value of the note will be adjusted for dividends in the underlying asset. No asian end.</t>
  </si>
  <si>
    <t>This is a non-capital protected issue with one underlying asset. The price of the note will increase when the price of the underlying asset increases, and decrease when the price of the underlying asset decreases. If the underlying asset is at or below the stop-loss level, the investment will redeem early and all amount invested will be lost. The stop-loss level and the strike price will be adjusted on a daily basis. Currency fluctuations will also affect the performance of the investment. The price of the note will be adjusted for dividends in the underlying asset. No asian end.</t>
  </si>
  <si>
    <t>This is a non-capital protected issue with one underlying asset. The price of the note will increase when the price of the underlying asset decreases, and decrease when the price of the underlying asset increases. If the underlying asset is at or above the stop-loss level, the investment will redeem early and all amount invested will be lost. The stop-loss level and the strike price will be adjusted on a daily basis. The price of the note will be adjusted for dividends in the underlying asset. No asian end.</t>
  </si>
  <si>
    <t>This is a non-capital protected issue with one underlying asset. The price of the note will increase when the price of the underlying asset decreases, and decrease when the price of the underlying asset increases. If the underlying asset is at or above the stop-loss level, the investment will redeem early and all amount invested will be lost. The stop-loss level and the strike price will be adjusted on a daily basis. Currency fluctuations will also affect the performance of the investment. The price of the note will be adjusted for dividends in the underlying asset. No asian end.</t>
  </si>
  <si>
    <t>Mini Future</t>
  </si>
  <si>
    <t xml:space="preserve">The objective is to invest in a Mini Future, which will give a much higher return than the underlying asset, when the price of the underlying asset is rising.  </t>
  </si>
  <si>
    <t xml:space="preserve">The objective is to invest in a Mini Future, which will give a much higher return than the underlying asset, when the price of the underlying asset is falling.  </t>
  </si>
  <si>
    <t xml:space="preserve">The return of the investment depends on the performance of the underlying asset during the lifetime of the investment. The price of the note will be adjusted for dividends in the underlying asset. </t>
  </si>
  <si>
    <t xml:space="preserve">The price of the note will increase when the price of the underlying asset increases, and decrease when the price of the underlying asset decreases. If the price of the underlying asset is at or below the stop-loss level, the note will redeem early and some or all amount invested will be lost. The stop-loss level and the financing level will be adjusted on a daily basis. </t>
  </si>
  <si>
    <t xml:space="preserve">The price of the note will increase when the price of the underlying asset increases, and decrease when the price of the underlying asset decreases. If the price of the underlying asset is at or below the stop-loss level, the note will redeem early and some or all amount invested will be lost. The stop-loss level and the financing level will be adjusted on a daily basis. Currency fluctuations will also affect the performance of the investment. </t>
  </si>
  <si>
    <t xml:space="preserve">The price of the note will increase when the price of the underlying asset decreases, and decrease when the price of the underlying asset increases. If the price of the underlying asset is at or above the stop-loss level, the note will redeem early and some or all amount invested will be lost. The stop-loss level and the financing level will be adjusted on a daily basis. </t>
  </si>
  <si>
    <t xml:space="preserve">The price of the note will increase when the price of the underlying asset decreases, and decrease when the price of the underlying asset increases. If the price of the underlying asset is at or above the stop-loss level, the note will redeem early and some or all amount invested will be lost. The stop-loss level and the financing level will be adjusted on a daily basis. Currency fluctuations will also affect the performance of the investment. </t>
  </si>
  <si>
    <t>Turbo 1</t>
  </si>
  <si>
    <t>Turbo 2</t>
  </si>
  <si>
    <t>Turbo 3</t>
  </si>
  <si>
    <t>Turbo 4</t>
  </si>
  <si>
    <t>No open end, No Asian</t>
  </si>
  <si>
    <t>This is a non-capital protected issue with one underlying asset. If, during the lifetime of the note, the underlying asset has never been at or below the barrier the note will pay (closing price - strike price), on the redemption date. If, during the lifetime of the note, the underlying asset has been at or below the barrier the note will redeem early and some or all amount invested will be lost. No asian end.</t>
  </si>
  <si>
    <t>This is a non-capital protected issue with one underlying asset. If, during the lifetime of the note, the underlying asset has never been at or below the barrier the note will pay (closing price - strike price), on the redemption date. If, during the lifetime of the note, the underlying asset has been at or below the barrier the note will redeem early and some or all amount invested will be lost. No asian end. Currency fluctuations will also affect the performance of the note. No asian end.</t>
  </si>
  <si>
    <t>This is a non-capital protected issue with one underlying asset. If, during the lifetime of the investment, the underlying asset is at or above the predefined barrier, the investment will redeem early and all amount invested will be lost. If, on the valuation date, the underlying asset is below the strike price the note will pay (strike price - closing price), on the redemption date. If, on the valuation date, the underlying asset is at or above the strike price, all amount invested will be lost. No asian period.</t>
  </si>
  <si>
    <t>This is a non-capital protected issue with one underlying asset. If, during the lifetime of the investment, the underlying asset is at or above the predefined barrier, the investment will redeem early and all amount invested will be lost. If, on the valuation date, the underlying asset is below the strike price the note will pay (strike price - closing price), on the redemption date. If, on the valuation date, the underlying asset is at or above the strike price, all amount invested will be lost. Currency fluctuations will also affect the performance of the note. No asian period.</t>
  </si>
  <si>
    <t>Knock-Out Warrant</t>
  </si>
  <si>
    <t xml:space="preserve">The objective is to invest in a Turbo, which will give a much higher return than the underlying asset, when the price of the underlying asset is rising. </t>
  </si>
  <si>
    <t xml:space="preserve">The objective is to invest in a Turbo, which will give a much higher return than the underlying asset, when the price of the underlying asset is falling. </t>
  </si>
  <si>
    <t>The return of the investment depends on the performance of the underlying asset during the lifetime of the investment. The note does not pay any dividends from the underlying asset.</t>
  </si>
  <si>
    <t>If, during the lifetime of the note, the price of the underlying asset has never been at or below the knock out level the note will pay the closing price minus the strike price, on the redemption date.</t>
  </si>
  <si>
    <t xml:space="preserve">If, during the lifetime of the note, the price of the underlying asset has never been at or below the knock out level the note will pay the closing price minus the strike price, on the redemption date. Currency fluctuations will also affect the performance of the investment. </t>
  </si>
  <si>
    <t>If, during the lifetime of the note, the price of the underlying asset has never been at or above the knock out level the note will pay the strike price minus the closing price, on the redemption date.</t>
  </si>
  <si>
    <t xml:space="preserve">If, during the lifetime of the note, the price of the underlying asset has never been at or above the knock out level the note will pay the strike price minus the closing price, on the redemption date. Currency fluctuations will also affect the performance of the investment. </t>
  </si>
  <si>
    <t xml:space="preserve">If, during the lifetime of the note, the price of the underlying has been at or below the knock out level, the note will redeem early and all amount invested will be lost. </t>
  </si>
  <si>
    <t xml:space="preserve">If, during the lifetime of the note, the price of the underlying has been at or above the knock out level, the note will redeem early and all amount invested will be lost. </t>
  </si>
  <si>
    <t>Knock out level</t>
  </si>
  <si>
    <t>Multiplier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</si>
</sst>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6">
    <font>
      <sz val="11"/>
      <color theme="1"/>
      <name val="Arial"/>
      <family val="2"/>
      <scheme val="minor"/>
    </font>
    <font>
      <sz val="11"/>
      <color theme="1"/>
      <name val="Calibri"/>
      <family val="2"/>
    </font>
    <font>
      <b/>
      <sz val="12"/>
      <color rgb="FF191919"/>
      <name val="Calibri"/>
      <family val="2"/>
    </font>
    <font>
      <b/>
      <i/>
      <sz val="11"/>
      <color theme="1"/>
      <name val="Calibri"/>
      <family val="2"/>
    </font>
    <font>
      <i/>
      <sz val="11"/>
      <color theme="1"/>
      <name val="Calibri"/>
      <family val="2"/>
    </font>
    <font>
      <sz val="11"/>
      <name val="Calibri"/>
      <family val="2"/>
    </font>
    <font>
      <b/>
      <sz val="11"/>
      <color theme="1"/>
      <name val="Calibri"/>
      <family val="2"/>
    </font>
    <font>
      <b/>
      <sz val="11"/>
      <name val="Calibri"/>
      <family val="2"/>
    </font>
    <font>
      <sz val="11"/>
      <color theme="1"/>
      <name val="Arial"/>
      <family val="2"/>
      <scheme val="minor"/>
    </font>
    <font>
      <b/>
      <sz val="11"/>
      <color theme="8"/>
      <name val="Calibri"/>
      <family val="2"/>
    </font>
    <font>
      <sz val="11"/>
      <color theme="8"/>
      <name val="Calibri"/>
      <family val="2"/>
    </font>
    <font>
      <sz val="11"/>
      <color theme="8"/>
      <name val="Arial"/>
      <family val="2"/>
      <scheme val="minor"/>
    </font>
    <font>
      <sz val="11"/>
      <color rgb="FFFF0000"/>
      <name val="Calibri"/>
      <family val="2"/>
    </font>
    <font>
      <b/>
      <sz val="12"/>
      <name val="Calibri"/>
      <family val="2"/>
    </font>
    <font>
      <i/>
      <sz val="11"/>
      <color rgb="FFFF0000"/>
      <name val="Calibri"/>
      <family val="2"/>
    </font>
    <font>
      <b/>
      <sz val="11"/>
      <color rgb="FFFF0000"/>
      <name val="Calibri"/>
      <family val="2"/>
    </font>
    <font>
      <i/>
      <sz val="11"/>
      <name val="Calibri"/>
      <family val="2"/>
    </font>
    <font>
      <sz val="11"/>
      <color rgb="FF000000"/>
      <name val="Calibri"/>
      <family val="2"/>
    </font>
    <font>
      <sz val="11"/>
      <color theme="0" tint="-0.249977111117893"/>
      <name val="Calibri"/>
      <family val="2"/>
    </font>
    <font>
      <b/>
      <sz val="12"/>
      <color theme="1"/>
      <name val="Calibri"/>
      <family val="2"/>
    </font>
    <font>
      <sz val="11"/>
      <name val="Arial"/>
      <family val="2"/>
      <scheme val="minor"/>
    </font>
    <font>
      <sz val="10"/>
      <color theme="1"/>
      <name val="Arial"/>
      <family val="2"/>
    </font>
    <font>
      <sz val="11"/>
      <color theme="0" tint="-0.34998626667073579"/>
      <name val="Arial"/>
      <family val="2"/>
      <scheme val="minor"/>
    </font>
    <font>
      <sz val="11"/>
      <color theme="0" tint="-0.34998626667073579"/>
      <name val="Calibri"/>
      <family val="2"/>
    </font>
    <font>
      <b/>
      <sz val="12"/>
      <color theme="0" tint="-0.34998626667073579"/>
      <name val="Calibri"/>
      <family val="2"/>
    </font>
    <font>
      <i/>
      <sz val="11"/>
      <color theme="0" tint="-0.34998626667073579"/>
      <name val="Calibri"/>
      <family val="2"/>
    </font>
    <font>
      <b/>
      <sz val="11"/>
      <color theme="0" tint="-0.34998626667073579"/>
      <name val="Calibri"/>
      <family val="2"/>
    </font>
    <font>
      <strike/>
      <sz val="11"/>
      <color rgb="FFFF0000"/>
      <name val="Calibri"/>
      <family val="2"/>
    </font>
    <font>
      <b/>
      <sz val="12"/>
      <color theme="0" tint="-0.249977111117893"/>
      <name val="Calibri"/>
      <family val="2"/>
    </font>
    <font>
      <i/>
      <sz val="11"/>
      <color theme="0" tint="-0.249977111117893"/>
      <name val="Calibri"/>
      <family val="2"/>
    </font>
    <font>
      <b/>
      <sz val="11"/>
      <color theme="0" tint="-0.249977111117893"/>
      <name val="Calibri"/>
      <family val="2"/>
    </font>
    <font>
      <sz val="11"/>
      <color theme="7" tint="0.39997558519241921"/>
      <name val="Calibri"/>
      <family val="2"/>
    </font>
    <font>
      <i/>
      <sz val="10"/>
      <color rgb="FF7F7F7F"/>
      <name val="Arial"/>
      <family val="2"/>
    </font>
    <font>
      <sz val="11"/>
      <color rgb="FF9C0006"/>
      <name val="Arial"/>
      <family val="2"/>
      <scheme val="minor"/>
    </font>
    <font>
      <b/>
      <sz val="11"/>
      <color theme="1"/>
      <name val="Arial"/>
      <family val="2"/>
      <scheme val="minor"/>
    </font>
    <font>
      <sz val="11"/>
      <color rgb="FF3F3F76"/>
      <name val="Arial"/>
      <family val="2"/>
      <scheme val="minor"/>
    </font>
  </fonts>
  <fills count="31">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0000"/>
        <bgColor indexed="64"/>
      </patternFill>
    </fill>
    <fill>
      <patternFill patternType="solid">
        <fgColor theme="0"/>
        <bgColor indexed="64"/>
      </patternFill>
    </fill>
    <fill>
      <patternFill patternType="solid">
        <fgColor theme="2" tint="0.59999389629810485"/>
        <bgColor indexed="64"/>
      </patternFill>
    </fill>
    <fill>
      <patternFill patternType="solid">
        <fgColor rgb="FF00B050"/>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rgb="FF92D050"/>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8" tint="-0.249977111117893"/>
        <bgColor indexed="64"/>
      </patternFill>
    </fill>
    <fill>
      <patternFill patternType="solid">
        <fgColor theme="9" tint="0.39997558519241921"/>
        <bgColor indexed="64"/>
      </patternFill>
    </fill>
    <fill>
      <patternFill patternType="solid">
        <fgColor rgb="FF7030A0"/>
        <bgColor indexed="64"/>
      </patternFill>
    </fill>
    <fill>
      <patternFill patternType="solid">
        <fgColor theme="3" tint="0.39997558519241921"/>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rgb="FF0070C0"/>
        <bgColor indexed="64"/>
      </patternFill>
    </fill>
    <fill>
      <patternFill patternType="solid">
        <fgColor theme="1" tint="9.9978637043366805E-2"/>
        <bgColor indexed="64"/>
      </patternFill>
    </fill>
    <fill>
      <patternFill patternType="solid">
        <fgColor rgb="FFFFC7CE"/>
      </patternFill>
    </fill>
    <fill>
      <patternFill patternType="solid">
        <fgColor rgb="FFFFCC99"/>
      </patternFill>
    </fill>
    <fill>
      <patternFill patternType="solid">
        <fgColor rgb="FFFFFF00"/>
        <bgColor indexed="64"/>
      </patternFill>
    </fill>
  </fills>
  <borders count="28">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s>
  <cellStyleXfs count="15">
    <xf numFmtId="0" fontId="0" fillId="0" borderId="0"/>
    <xf numFmtId="0" fontId="8" fillId="0" borderId="0"/>
    <xf numFmtId="43" fontId="8" fillId="0" borderId="0" applyFont="0" applyFill="0" applyBorder="0" applyAlignment="0" applyProtection="0"/>
    <xf numFmtId="0" fontId="21" fillId="0" borderId="0"/>
    <xf numFmtId="0" fontId="21" fillId="0" borderId="0"/>
    <xf numFmtId="0" fontId="8" fillId="0" borderId="0"/>
    <xf numFmtId="0" fontId="32" fillId="0" borderId="0" applyNumberFormat="0" applyFill="0" applyBorder="0" applyAlignment="0" applyProtection="0"/>
    <xf numFmtId="0" fontId="8" fillId="0" borderId="0"/>
    <xf numFmtId="0" fontId="8" fillId="0" borderId="0"/>
    <xf numFmtId="0" fontId="21" fillId="0" borderId="0"/>
    <xf numFmtId="0" fontId="8" fillId="0" borderId="0"/>
    <xf numFmtId="0" fontId="8" fillId="0" borderId="0"/>
    <xf numFmtId="0" fontId="8" fillId="0" borderId="0"/>
    <xf numFmtId="0" fontId="33" fillId="28" borderId="0" applyNumberFormat="0" applyBorder="0" applyAlignment="0" applyProtection="0"/>
    <xf numFmtId="0" fontId="35" fillId="29" borderId="27" applyNumberFormat="0" applyAlignment="0" applyProtection="0"/>
  </cellStyleXfs>
  <cellXfs count="269">
    <xf numFmtId="0" fontId="0" fillId="0" borderId="0" xfId="0"/>
    <xf numFmtId="0" fontId="1" fillId="0" borderId="0" xfId="0" applyFont="1"/>
    <xf numFmtId="0" fontId="1" fillId="0" borderId="0" xfId="0" applyFont="1" applyAlignment="1">
      <alignment vertical="center" wrapText="1"/>
    </xf>
    <xf numFmtId="0" fontId="1" fillId="0" borderId="1" xfId="0" applyFont="1" applyBorder="1" applyAlignment="1">
      <alignment vertical="center" wrapText="1"/>
    </xf>
    <xf numFmtId="0" fontId="1" fillId="0" borderId="0" xfId="0" applyFont="1" applyAlignment="1">
      <alignment horizontal="right"/>
    </xf>
    <xf numFmtId="0" fontId="3" fillId="0" borderId="1" xfId="0" applyFont="1" applyBorder="1" applyAlignment="1">
      <alignment horizontal="right" vertical="center" wrapText="1"/>
    </xf>
    <xf numFmtId="0" fontId="1" fillId="0" borderId="1" xfId="0" applyFont="1" applyBorder="1" applyAlignment="1">
      <alignment horizontal="right" vertical="center" wrapText="1"/>
    </xf>
    <xf numFmtId="0" fontId="1" fillId="0" borderId="0" xfId="0" applyFont="1" applyAlignment="1">
      <alignment vertical="center"/>
    </xf>
    <xf numFmtId="0" fontId="1" fillId="2" borderId="0" xfId="0" applyFont="1" applyFill="1" applyAlignment="1">
      <alignment horizontal="right"/>
    </xf>
    <xf numFmtId="0" fontId="1" fillId="2" borderId="1" xfId="0" applyFont="1" applyFill="1" applyBorder="1" applyAlignment="1">
      <alignment horizontal="right"/>
    </xf>
    <xf numFmtId="0" fontId="3" fillId="2" borderId="1" xfId="0" applyFont="1" applyFill="1" applyBorder="1" applyAlignment="1">
      <alignment horizontal="right"/>
    </xf>
    <xf numFmtId="0" fontId="4" fillId="2" borderId="1" xfId="0" applyFont="1" applyFill="1" applyBorder="1"/>
    <xf numFmtId="0" fontId="6" fillId="0" borderId="0" xfId="0" applyFont="1"/>
    <xf numFmtId="0" fontId="6" fillId="0" borderId="0" xfId="0" applyFont="1" applyAlignment="1">
      <alignment horizontal="right"/>
    </xf>
    <xf numFmtId="0" fontId="1" fillId="0" borderId="1" xfId="0" applyFont="1" applyBorder="1" applyAlignment="1">
      <alignment horizontal="right"/>
    </xf>
    <xf numFmtId="0" fontId="9" fillId="0" borderId="0" xfId="0" applyFont="1" applyAlignment="1">
      <alignment horizontal="right"/>
    </xf>
    <xf numFmtId="0" fontId="10" fillId="0" borderId="0" xfId="0" applyFont="1"/>
    <xf numFmtId="0" fontId="11" fillId="0" borderId="0" xfId="0" applyFont="1"/>
    <xf numFmtId="0" fontId="2" fillId="2" borderId="3" xfId="0" applyFont="1" applyFill="1" applyBorder="1" applyAlignment="1">
      <alignment vertical="center" wrapText="1"/>
    </xf>
    <xf numFmtId="0" fontId="5" fillId="0" borderId="2" xfId="0" applyFont="1" applyBorder="1" applyAlignment="1">
      <alignment vertical="center" wrapText="1"/>
    </xf>
    <xf numFmtId="0" fontId="3" fillId="2" borderId="1" xfId="0" applyFont="1" applyFill="1" applyBorder="1" applyAlignment="1">
      <alignment horizontal="right" vertical="center"/>
    </xf>
    <xf numFmtId="0" fontId="3" fillId="0" borderId="0" xfId="0" applyFont="1" applyAlignment="1">
      <alignment horizontal="right" vertical="center" wrapText="1"/>
    </xf>
    <xf numFmtId="0" fontId="1" fillId="2" borderId="0" xfId="0" applyFont="1" applyFill="1" applyAlignment="1">
      <alignment horizontal="right" vertical="center"/>
    </xf>
    <xf numFmtId="0" fontId="1" fillId="2" borderId="0" xfId="0" applyFont="1" applyFill="1" applyAlignment="1">
      <alignment vertical="center"/>
    </xf>
    <xf numFmtId="0" fontId="1" fillId="2" borderId="1" xfId="0" applyFont="1" applyFill="1" applyBorder="1" applyAlignment="1">
      <alignment horizontal="right" vertical="center"/>
    </xf>
    <xf numFmtId="0" fontId="4" fillId="2" borderId="2" xfId="0" applyFont="1" applyFill="1" applyBorder="1" applyAlignment="1">
      <alignment vertical="center"/>
    </xf>
    <xf numFmtId="0" fontId="3" fillId="0" borderId="0" xfId="0" applyFont="1" applyAlignment="1">
      <alignment horizontal="right" vertical="center"/>
    </xf>
    <xf numFmtId="0" fontId="6" fillId="0" borderId="2" xfId="0" applyFont="1" applyBorder="1" applyAlignment="1">
      <alignment horizontal="right" vertical="center"/>
    </xf>
    <xf numFmtId="0" fontId="1" fillId="0" borderId="0" xfId="0" quotePrefix="1" applyFont="1" applyAlignment="1">
      <alignment vertical="center"/>
    </xf>
    <xf numFmtId="0" fontId="9" fillId="0" borderId="0" xfId="0" applyFont="1" applyAlignment="1">
      <alignment vertical="center"/>
    </xf>
    <xf numFmtId="0" fontId="12" fillId="0" borderId="2" xfId="0" applyFont="1" applyBorder="1" applyAlignment="1">
      <alignment vertical="center" wrapText="1"/>
    </xf>
    <xf numFmtId="0" fontId="7" fillId="0" borderId="0" xfId="0" applyFont="1" applyAlignment="1">
      <alignment vertical="center"/>
    </xf>
    <xf numFmtId="0" fontId="14" fillId="2" borderId="2" xfId="0" applyFont="1" applyFill="1" applyBorder="1" applyAlignment="1">
      <alignment vertical="center"/>
    </xf>
    <xf numFmtId="0" fontId="12" fillId="0" borderId="0" xfId="0" applyFont="1" applyAlignment="1">
      <alignment vertical="center"/>
    </xf>
    <xf numFmtId="0" fontId="15" fillId="0" borderId="0" xfId="0" applyFont="1" applyAlignment="1">
      <alignment vertical="center"/>
    </xf>
    <xf numFmtId="0" fontId="12" fillId="0" borderId="0" xfId="0" quotePrefix="1" applyFont="1" applyAlignment="1">
      <alignment vertical="center"/>
    </xf>
    <xf numFmtId="0" fontId="7" fillId="0" borderId="2" xfId="0" applyFont="1" applyBorder="1" applyAlignment="1">
      <alignment horizontal="right" vertical="center"/>
    </xf>
    <xf numFmtId="0" fontId="5" fillId="0" borderId="0" xfId="0" applyFont="1" applyAlignment="1">
      <alignment vertical="center"/>
    </xf>
    <xf numFmtId="0" fontId="5" fillId="0" borderId="0" xfId="0" quotePrefix="1" applyFont="1" applyAlignment="1">
      <alignment vertical="center"/>
    </xf>
    <xf numFmtId="0" fontId="13" fillId="2" borderId="3" xfId="0" applyFont="1" applyFill="1" applyBorder="1" applyAlignment="1">
      <alignment vertical="center" wrapText="1"/>
    </xf>
    <xf numFmtId="0" fontId="3" fillId="0" borderId="0" xfId="0" applyFont="1" applyAlignment="1">
      <alignment horizontal="right"/>
    </xf>
    <xf numFmtId="0" fontId="6" fillId="0" borderId="7" xfId="0" applyFont="1" applyBorder="1" applyAlignment="1">
      <alignment horizontal="right"/>
    </xf>
    <xf numFmtId="0" fontId="19" fillId="2" borderId="3" xfId="0" applyFont="1" applyFill="1" applyBorder="1" applyAlignment="1">
      <alignment vertical="center"/>
    </xf>
    <xf numFmtId="0" fontId="4" fillId="0" borderId="0" xfId="0" applyFont="1" applyAlignment="1">
      <alignment horizontal="right" vertical="center"/>
    </xf>
    <xf numFmtId="0" fontId="10" fillId="0" borderId="0" xfId="0" applyFont="1" applyAlignment="1">
      <alignment vertical="center" wrapText="1"/>
    </xf>
    <xf numFmtId="0" fontId="9" fillId="0" borderId="0" xfId="0" applyFont="1" applyAlignment="1">
      <alignment vertical="center" wrapText="1"/>
    </xf>
    <xf numFmtId="0" fontId="6" fillId="0" borderId="0" xfId="0" applyFont="1" applyAlignment="1">
      <alignment vertical="center"/>
    </xf>
    <xf numFmtId="0" fontId="1" fillId="0" borderId="0" xfId="0" applyFont="1" applyAlignment="1">
      <alignment horizontal="right" vertical="center" wrapText="1"/>
    </xf>
    <xf numFmtId="0" fontId="5" fillId="2" borderId="0" xfId="0" applyFont="1" applyFill="1" applyAlignment="1">
      <alignment vertical="center" wrapText="1"/>
    </xf>
    <xf numFmtId="0" fontId="0" fillId="0" borderId="0" xfId="0" applyAlignment="1">
      <alignment vertical="center"/>
    </xf>
    <xf numFmtId="0" fontId="4" fillId="2" borderId="2" xfId="0" applyFont="1" applyFill="1" applyBorder="1" applyAlignment="1">
      <alignment vertical="center" wrapText="1"/>
    </xf>
    <xf numFmtId="0" fontId="4" fillId="2" borderId="10" xfId="0" applyFont="1" applyFill="1" applyBorder="1" applyAlignment="1">
      <alignment vertical="center"/>
    </xf>
    <xf numFmtId="0" fontId="4" fillId="2" borderId="9" xfId="0" applyFont="1" applyFill="1" applyBorder="1" applyAlignment="1">
      <alignment vertical="center"/>
    </xf>
    <xf numFmtId="0" fontId="5" fillId="2" borderId="0" xfId="0" applyFont="1" applyFill="1"/>
    <xf numFmtId="0" fontId="4" fillId="2" borderId="11" xfId="0" applyFont="1" applyFill="1" applyBorder="1"/>
    <xf numFmtId="0" fontId="2" fillId="2" borderId="12" xfId="0" applyFont="1" applyFill="1" applyBorder="1" applyAlignment="1">
      <alignment vertical="center"/>
    </xf>
    <xf numFmtId="0" fontId="4" fillId="2" borderId="13" xfId="0" applyFont="1" applyFill="1" applyBorder="1"/>
    <xf numFmtId="0" fontId="1" fillId="2" borderId="1" xfId="0" applyFont="1" applyFill="1" applyBorder="1"/>
    <xf numFmtId="0" fontId="1" fillId="2" borderId="14" xfId="0" applyFont="1" applyFill="1" applyBorder="1" applyAlignment="1">
      <alignment vertical="center" wrapText="1"/>
    </xf>
    <xf numFmtId="0" fontId="1" fillId="2" borderId="0" xfId="0" applyFont="1" applyFill="1" applyAlignment="1">
      <alignment wrapText="1"/>
    </xf>
    <xf numFmtId="0" fontId="1" fillId="0" borderId="2" xfId="0" applyFont="1" applyBorder="1" applyAlignment="1">
      <alignment vertical="center" wrapText="1"/>
    </xf>
    <xf numFmtId="0" fontId="15" fillId="2" borderId="0" xfId="0" applyFont="1" applyFill="1" applyAlignment="1">
      <alignment horizontal="right" wrapText="1"/>
    </xf>
    <xf numFmtId="0" fontId="4" fillId="2" borderId="2" xfId="0" applyFont="1" applyFill="1" applyBorder="1" applyAlignment="1">
      <alignment wrapText="1"/>
    </xf>
    <xf numFmtId="0" fontId="4" fillId="2" borderId="5" xfId="0" applyFont="1" applyFill="1" applyBorder="1" applyAlignment="1">
      <alignment vertical="center"/>
    </xf>
    <xf numFmtId="0" fontId="4" fillId="2" borderId="5" xfId="0" applyFont="1" applyFill="1" applyBorder="1" applyAlignment="1">
      <alignment vertical="center" wrapText="1"/>
    </xf>
    <xf numFmtId="0" fontId="4" fillId="2" borderId="0" xfId="0" applyFont="1" applyFill="1" applyAlignment="1">
      <alignment vertical="center"/>
    </xf>
    <xf numFmtId="0" fontId="4" fillId="2" borderId="6" xfId="0" applyFont="1" applyFill="1" applyBorder="1" applyAlignment="1">
      <alignment vertical="center"/>
    </xf>
    <xf numFmtId="0" fontId="4" fillId="2" borderId="11" xfId="0" applyFont="1" applyFill="1" applyBorder="1" applyAlignment="1">
      <alignment vertical="center"/>
    </xf>
    <xf numFmtId="0" fontId="1" fillId="0" borderId="15" xfId="0" applyFont="1" applyBorder="1" applyAlignment="1">
      <alignment vertical="center" wrapText="1"/>
    </xf>
    <xf numFmtId="0" fontId="7" fillId="0" borderId="0" xfId="0" applyFont="1"/>
    <xf numFmtId="0" fontId="5" fillId="2" borderId="0" xfId="0" applyFont="1" applyFill="1" applyAlignment="1">
      <alignment wrapText="1"/>
    </xf>
    <xf numFmtId="0" fontId="16" fillId="2" borderId="6" xfId="0" applyFont="1" applyFill="1" applyBorder="1"/>
    <xf numFmtId="0" fontId="20" fillId="0" borderId="0" xfId="0" applyFont="1"/>
    <xf numFmtId="0" fontId="4" fillId="2" borderId="15" xfId="0" applyFont="1" applyFill="1" applyBorder="1" applyAlignment="1">
      <alignment vertical="center"/>
    </xf>
    <xf numFmtId="0" fontId="3" fillId="2" borderId="0" xfId="0" applyFont="1" applyFill="1" applyAlignment="1">
      <alignment horizontal="right"/>
    </xf>
    <xf numFmtId="0" fontId="4" fillId="2" borderId="0" xfId="0" applyFont="1" applyFill="1"/>
    <xf numFmtId="0" fontId="13" fillId="2" borderId="3" xfId="0" applyFont="1" applyFill="1" applyBorder="1" applyAlignment="1">
      <alignment vertical="center"/>
    </xf>
    <xf numFmtId="0" fontId="7" fillId="0" borderId="2" xfId="0" applyFont="1" applyBorder="1" applyAlignment="1">
      <alignment horizontal="right"/>
    </xf>
    <xf numFmtId="0" fontId="15" fillId="0" borderId="0" xfId="0" applyFont="1"/>
    <xf numFmtId="0" fontId="12" fillId="0" borderId="0" xfId="0" applyFont="1"/>
    <xf numFmtId="0" fontId="12" fillId="0" borderId="0" xfId="0" applyFont="1" applyAlignment="1">
      <alignment vertical="center" wrapText="1"/>
    </xf>
    <xf numFmtId="0" fontId="16" fillId="2" borderId="2" xfId="0" applyFont="1" applyFill="1" applyBorder="1" applyAlignment="1">
      <alignment vertical="center"/>
    </xf>
    <xf numFmtId="0" fontId="5" fillId="2" borderId="4" xfId="0" applyFont="1" applyFill="1" applyBorder="1" applyAlignment="1">
      <alignment vertical="center" wrapText="1"/>
    </xf>
    <xf numFmtId="0" fontId="16" fillId="2" borderId="2" xfId="0" applyFont="1" applyFill="1" applyBorder="1"/>
    <xf numFmtId="0" fontId="19" fillId="4" borderId="3" xfId="0" applyFont="1" applyFill="1" applyBorder="1" applyAlignment="1">
      <alignment vertical="center"/>
    </xf>
    <xf numFmtId="0" fontId="13" fillId="4" borderId="3" xfId="0" applyFont="1" applyFill="1" applyBorder="1" applyAlignment="1">
      <alignment vertical="center"/>
    </xf>
    <xf numFmtId="0" fontId="5" fillId="2" borderId="14" xfId="0" applyFont="1" applyFill="1" applyBorder="1" applyAlignment="1">
      <alignment vertical="center" wrapText="1"/>
    </xf>
    <xf numFmtId="0" fontId="5" fillId="2" borderId="8" xfId="0" applyFont="1" applyFill="1" applyBorder="1" applyAlignment="1">
      <alignment vertical="center" wrapText="1"/>
    </xf>
    <xf numFmtId="0" fontId="5" fillId="2" borderId="6" xfId="0" applyFont="1" applyFill="1" applyBorder="1" applyAlignment="1">
      <alignment vertical="center" wrapText="1"/>
    </xf>
    <xf numFmtId="0" fontId="5" fillId="2" borderId="1" xfId="0" applyFont="1" applyFill="1" applyBorder="1" applyAlignment="1">
      <alignment vertical="center"/>
    </xf>
    <xf numFmtId="0" fontId="5" fillId="0" borderId="0" xfId="0" applyFont="1" applyAlignment="1">
      <alignment vertical="center" wrapText="1"/>
    </xf>
    <xf numFmtId="0" fontId="4" fillId="2" borderId="15" xfId="0" applyFont="1" applyFill="1" applyBorder="1"/>
    <xf numFmtId="0" fontId="1" fillId="2" borderId="6" xfId="0" applyFont="1" applyFill="1" applyBorder="1" applyAlignment="1">
      <alignment vertical="center" wrapText="1"/>
    </xf>
    <xf numFmtId="0" fontId="3" fillId="2" borderId="0" xfId="0" applyFont="1" applyFill="1" applyAlignment="1">
      <alignment horizontal="right" vertical="center"/>
    </xf>
    <xf numFmtId="0" fontId="6" fillId="5" borderId="16" xfId="0" applyFont="1" applyFill="1" applyBorder="1" applyAlignment="1">
      <alignment horizontal="right"/>
    </xf>
    <xf numFmtId="0" fontId="1" fillId="2" borderId="10" xfId="0" applyFont="1" applyFill="1" applyBorder="1" applyAlignment="1">
      <alignment vertical="center" wrapText="1"/>
    </xf>
    <xf numFmtId="0" fontId="1" fillId="2" borderId="19" xfId="0" applyFont="1" applyFill="1" applyBorder="1" applyAlignment="1">
      <alignment vertical="center" wrapText="1"/>
    </xf>
    <xf numFmtId="0" fontId="1" fillId="0" borderId="3" xfId="0" applyFont="1" applyBorder="1" applyAlignment="1">
      <alignment vertical="center"/>
    </xf>
    <xf numFmtId="0" fontId="4" fillId="2" borderId="14" xfId="0" applyFont="1" applyFill="1" applyBorder="1"/>
    <xf numFmtId="0" fontId="4" fillId="2" borderId="18" xfId="0" applyFont="1" applyFill="1" applyBorder="1"/>
    <xf numFmtId="0" fontId="6" fillId="2" borderId="17" xfId="0" applyFont="1" applyFill="1" applyBorder="1" applyAlignment="1">
      <alignment horizontal="right"/>
    </xf>
    <xf numFmtId="0" fontId="1" fillId="2" borderId="18" xfId="0" applyFont="1" applyFill="1" applyBorder="1"/>
    <xf numFmtId="0" fontId="6" fillId="5" borderId="3" xfId="0" applyFont="1" applyFill="1" applyBorder="1" applyAlignment="1">
      <alignment horizontal="right"/>
    </xf>
    <xf numFmtId="0" fontId="3" fillId="2" borderId="4" xfId="0" applyFont="1" applyFill="1" applyBorder="1" applyAlignment="1">
      <alignment horizontal="right" vertical="center"/>
    </xf>
    <xf numFmtId="0" fontId="9" fillId="0" borderId="0" xfId="0" applyFont="1"/>
    <xf numFmtId="0" fontId="5" fillId="0" borderId="0" xfId="0" applyFont="1"/>
    <xf numFmtId="0" fontId="5" fillId="2" borderId="14" xfId="0" applyFont="1" applyFill="1" applyBorder="1"/>
    <xf numFmtId="0" fontId="7" fillId="6" borderId="0" xfId="0" applyFont="1" applyFill="1"/>
    <xf numFmtId="0" fontId="0" fillId="6" borderId="0" xfId="0" applyFill="1"/>
    <xf numFmtId="0" fontId="1" fillId="6" borderId="0" xfId="0" applyFont="1" applyFill="1"/>
    <xf numFmtId="0" fontId="6" fillId="6" borderId="0" xfId="0" applyFont="1" applyFill="1" applyAlignment="1">
      <alignment vertical="center"/>
    </xf>
    <xf numFmtId="0" fontId="5" fillId="2" borderId="0" xfId="0" applyFont="1" applyFill="1" applyAlignment="1">
      <alignment vertical="center"/>
    </xf>
    <xf numFmtId="0" fontId="13" fillId="4" borderId="3" xfId="0" applyFont="1" applyFill="1" applyBorder="1" applyAlignment="1">
      <alignment vertical="center" wrapText="1"/>
    </xf>
    <xf numFmtId="0" fontId="16" fillId="2" borderId="5" xfId="0" applyFont="1" applyFill="1" applyBorder="1"/>
    <xf numFmtId="0" fontId="16" fillId="2" borderId="1" xfId="0" applyFont="1" applyFill="1" applyBorder="1"/>
    <xf numFmtId="0" fontId="16" fillId="2" borderId="11" xfId="0" applyFont="1" applyFill="1" applyBorder="1"/>
    <xf numFmtId="0" fontId="6" fillId="0" borderId="2" xfId="0" applyFont="1" applyBorder="1" applyAlignment="1">
      <alignment horizontal="right"/>
    </xf>
    <xf numFmtId="0" fontId="1" fillId="2" borderId="0" xfId="0" applyFont="1" applyFill="1"/>
    <xf numFmtId="0" fontId="6" fillId="0" borderId="15" xfId="0" applyFont="1" applyBorder="1" applyAlignment="1">
      <alignment horizontal="right"/>
    </xf>
    <xf numFmtId="0" fontId="6" fillId="0" borderId="5" xfId="0" applyFont="1" applyBorder="1" applyAlignment="1">
      <alignment horizontal="right"/>
    </xf>
    <xf numFmtId="0" fontId="4" fillId="2" borderId="20" xfId="0" applyFont="1" applyFill="1" applyBorder="1"/>
    <xf numFmtId="0" fontId="4" fillId="2" borderId="21" xfId="0" applyFont="1" applyFill="1" applyBorder="1"/>
    <xf numFmtId="0" fontId="5" fillId="2" borderId="22" xfId="0" applyFont="1" applyFill="1" applyBorder="1"/>
    <xf numFmtId="0" fontId="1" fillId="0" borderId="10" xfId="0" applyFont="1" applyBorder="1" applyAlignment="1">
      <alignment vertical="center" wrapText="1"/>
    </xf>
    <xf numFmtId="0" fontId="1" fillId="0" borderId="9" xfId="0" applyFont="1" applyBorder="1" applyAlignment="1">
      <alignment vertical="center" wrapText="1"/>
    </xf>
    <xf numFmtId="0" fontId="3" fillId="2" borderId="1" xfId="0" applyFont="1" applyFill="1" applyBorder="1"/>
    <xf numFmtId="0" fontId="1" fillId="0" borderId="2" xfId="0" applyFont="1" applyBorder="1" applyAlignment="1">
      <alignment horizontal="left" wrapText="1"/>
    </xf>
    <xf numFmtId="0" fontId="5" fillId="0" borderId="2" xfId="0" applyFont="1" applyBorder="1" applyAlignment="1">
      <alignment horizontal="left" wrapText="1"/>
    </xf>
    <xf numFmtId="0" fontId="1" fillId="5" borderId="3" xfId="0" applyFont="1" applyFill="1" applyBorder="1" applyAlignment="1">
      <alignment wrapText="1"/>
    </xf>
    <xf numFmtId="0" fontId="4" fillId="0" borderId="1" xfId="0" applyFont="1" applyBorder="1"/>
    <xf numFmtId="0" fontId="5" fillId="2" borderId="23" xfId="0" applyFont="1" applyFill="1" applyBorder="1"/>
    <xf numFmtId="0" fontId="4" fillId="0" borderId="5" xfId="0" applyFont="1" applyBorder="1"/>
    <xf numFmtId="0" fontId="5" fillId="5" borderId="3" xfId="0" applyFont="1" applyFill="1" applyBorder="1"/>
    <xf numFmtId="0" fontId="4" fillId="0" borderId="13" xfId="0" applyFont="1" applyBorder="1"/>
    <xf numFmtId="0" fontId="5" fillId="5" borderId="12" xfId="0" applyFont="1" applyFill="1" applyBorder="1"/>
    <xf numFmtId="0" fontId="3" fillId="2" borderId="19" xfId="0" applyFont="1" applyFill="1" applyBorder="1" applyAlignment="1">
      <alignment horizontal="right" vertical="center"/>
    </xf>
    <xf numFmtId="0" fontId="6" fillId="5" borderId="5" xfId="0" applyFont="1" applyFill="1" applyBorder="1" applyAlignment="1">
      <alignment horizontal="right"/>
    </xf>
    <xf numFmtId="0" fontId="1" fillId="5" borderId="5" xfId="0" applyFont="1" applyFill="1" applyBorder="1" applyAlignment="1">
      <alignment horizontal="right"/>
    </xf>
    <xf numFmtId="0" fontId="1" fillId="5" borderId="3" xfId="0" applyFont="1" applyFill="1" applyBorder="1" applyAlignment="1">
      <alignment horizontal="right"/>
    </xf>
    <xf numFmtId="0" fontId="1" fillId="0" borderId="13" xfId="0" applyFont="1" applyBorder="1" applyAlignment="1">
      <alignment horizontal="left"/>
    </xf>
    <xf numFmtId="0" fontId="5" fillId="5" borderId="12" xfId="0" applyFont="1" applyFill="1" applyBorder="1" applyAlignment="1">
      <alignment horizontal="left"/>
    </xf>
    <xf numFmtId="0" fontId="6" fillId="2" borderId="20" xfId="0" applyFont="1" applyFill="1" applyBorder="1" applyAlignment="1">
      <alignment horizontal="right"/>
    </xf>
    <xf numFmtId="0" fontId="1" fillId="0" borderId="25" xfId="0" applyFont="1" applyBorder="1"/>
    <xf numFmtId="0" fontId="1" fillId="0" borderId="24" xfId="0" applyFont="1" applyBorder="1"/>
    <xf numFmtId="0" fontId="6" fillId="0" borderId="17" xfId="0" applyFont="1" applyBorder="1" applyAlignment="1">
      <alignment vertical="center"/>
    </xf>
    <xf numFmtId="0" fontId="23" fillId="2" borderId="0" xfId="0" applyFont="1" applyFill="1"/>
    <xf numFmtId="0" fontId="24" fillId="4" borderId="3" xfId="0" applyFont="1" applyFill="1" applyBorder="1" applyAlignment="1">
      <alignment vertical="center"/>
    </xf>
    <xf numFmtId="0" fontId="25" fillId="2" borderId="5" xfId="0" applyFont="1" applyFill="1" applyBorder="1" applyAlignment="1">
      <alignment vertical="center" wrapText="1"/>
    </xf>
    <xf numFmtId="0" fontId="25" fillId="2" borderId="2" xfId="0" applyFont="1" applyFill="1" applyBorder="1" applyAlignment="1">
      <alignment vertical="center"/>
    </xf>
    <xf numFmtId="0" fontId="25" fillId="2" borderId="2" xfId="0" applyFont="1" applyFill="1" applyBorder="1" applyAlignment="1">
      <alignment vertical="center" wrapText="1"/>
    </xf>
    <xf numFmtId="0" fontId="23" fillId="2" borderId="19" xfId="0" applyFont="1" applyFill="1" applyBorder="1" applyAlignment="1">
      <alignment vertical="center" wrapText="1"/>
    </xf>
    <xf numFmtId="0" fontId="23" fillId="5" borderId="12" xfId="0" applyFont="1" applyFill="1" applyBorder="1" applyAlignment="1">
      <alignment horizontal="left"/>
    </xf>
    <xf numFmtId="0" fontId="26" fillId="0" borderId="2" xfId="0" applyFont="1" applyBorder="1" applyAlignment="1">
      <alignment horizontal="right"/>
    </xf>
    <xf numFmtId="0" fontId="23" fillId="0" borderId="2" xfId="0" applyFont="1" applyBorder="1" applyAlignment="1">
      <alignment horizontal="left" wrapText="1"/>
    </xf>
    <xf numFmtId="0" fontId="23" fillId="0" borderId="2" xfId="0" applyFont="1" applyBorder="1" applyAlignment="1">
      <alignment vertical="center" wrapText="1"/>
    </xf>
    <xf numFmtId="0" fontId="22" fillId="0" borderId="0" xfId="0" applyFont="1"/>
    <xf numFmtId="0" fontId="23" fillId="0" borderId="0" xfId="0" applyFont="1" applyAlignment="1">
      <alignment vertical="center" wrapText="1"/>
    </xf>
    <xf numFmtId="0" fontId="26" fillId="0" borderId="0" xfId="0" applyFont="1"/>
    <xf numFmtId="0" fontId="26" fillId="6" borderId="0" xfId="0" applyFont="1" applyFill="1"/>
    <xf numFmtId="0" fontId="19" fillId="4" borderId="2" xfId="0" applyFont="1" applyFill="1" applyBorder="1" applyAlignment="1">
      <alignment vertical="center"/>
    </xf>
    <xf numFmtId="0" fontId="25" fillId="2" borderId="6" xfId="0" applyFont="1" applyFill="1" applyBorder="1" applyAlignment="1">
      <alignment vertical="center"/>
    </xf>
    <xf numFmtId="0" fontId="23" fillId="2" borderId="0" xfId="0" applyFont="1" applyFill="1" applyAlignment="1">
      <alignment wrapText="1"/>
    </xf>
    <xf numFmtId="0" fontId="24" fillId="2" borderId="3" xfId="0" applyFont="1" applyFill="1" applyBorder="1" applyAlignment="1">
      <alignment vertical="center"/>
    </xf>
    <xf numFmtId="0" fontId="25" fillId="2" borderId="2" xfId="0" applyFont="1" applyFill="1" applyBorder="1"/>
    <xf numFmtId="0" fontId="25" fillId="2" borderId="6" xfId="0" applyFont="1" applyFill="1" applyBorder="1"/>
    <xf numFmtId="0" fontId="23" fillId="2" borderId="4" xfId="0" applyFont="1" applyFill="1" applyBorder="1" applyAlignment="1">
      <alignment vertical="center" wrapText="1"/>
    </xf>
    <xf numFmtId="0" fontId="23" fillId="2" borderId="14" xfId="0" applyFont="1" applyFill="1" applyBorder="1"/>
    <xf numFmtId="0" fontId="25" fillId="0" borderId="13" xfId="0" applyFont="1" applyBorder="1"/>
    <xf numFmtId="0" fontId="23" fillId="5" borderId="12" xfId="0" applyFont="1" applyFill="1" applyBorder="1"/>
    <xf numFmtId="0" fontId="1" fillId="0" borderId="2" xfId="0" applyFont="1" applyBorder="1" applyAlignment="1">
      <alignment horizontal="left" vertical="center" wrapText="1"/>
    </xf>
    <xf numFmtId="0" fontId="5" fillId="0" borderId="2" xfId="0" applyFont="1" applyBorder="1" applyAlignment="1">
      <alignment horizontal="left" vertical="center" wrapText="1"/>
    </xf>
    <xf numFmtId="0" fontId="23" fillId="0" borderId="2" xfId="0" applyFont="1" applyBorder="1" applyAlignment="1">
      <alignment horizontal="left" vertical="center" wrapText="1"/>
    </xf>
    <xf numFmtId="0" fontId="1" fillId="7" borderId="0" xfId="0" applyFont="1" applyFill="1"/>
    <xf numFmtId="0" fontId="2" fillId="7" borderId="3" xfId="0" applyFont="1" applyFill="1" applyBorder="1" applyAlignment="1">
      <alignment vertical="center"/>
    </xf>
    <xf numFmtId="0" fontId="2" fillId="2" borderId="3" xfId="0" applyFont="1" applyFill="1" applyBorder="1" applyAlignment="1">
      <alignment vertical="center"/>
    </xf>
    <xf numFmtId="0" fontId="4" fillId="2" borderId="2" xfId="0" applyFont="1" applyFill="1" applyBorder="1"/>
    <xf numFmtId="0" fontId="4" fillId="2" borderId="5" xfId="0" applyFont="1" applyFill="1" applyBorder="1"/>
    <xf numFmtId="0" fontId="4" fillId="2" borderId="6" xfId="0" applyFont="1" applyFill="1" applyBorder="1"/>
    <xf numFmtId="0" fontId="1" fillId="2" borderId="14" xfId="0" applyFont="1" applyFill="1" applyBorder="1"/>
    <xf numFmtId="0" fontId="1" fillId="5" borderId="5" xfId="0" applyFont="1" applyFill="1" applyBorder="1" applyAlignment="1">
      <alignment horizontal="left"/>
    </xf>
    <xf numFmtId="0" fontId="1" fillId="0" borderId="3" xfId="0" applyFont="1" applyBorder="1" applyAlignment="1">
      <alignment horizontal="left" vertical="center"/>
    </xf>
    <xf numFmtId="0" fontId="1" fillId="2" borderId="4" xfId="0" applyFont="1" applyFill="1" applyBorder="1" applyAlignment="1">
      <alignment vertical="center" wrapText="1"/>
    </xf>
    <xf numFmtId="0" fontId="2" fillId="4" borderId="3" xfId="0" applyFont="1" applyFill="1" applyBorder="1" applyAlignment="1">
      <alignment vertical="center"/>
    </xf>
    <xf numFmtId="0" fontId="6" fillId="6" borderId="0" xfId="0" applyFont="1" applyFill="1"/>
    <xf numFmtId="0" fontId="19" fillId="4" borderId="26" xfId="0" applyFont="1" applyFill="1" applyBorder="1" applyAlignment="1">
      <alignment vertical="center"/>
    </xf>
    <xf numFmtId="0" fontId="1" fillId="2" borderId="5" xfId="0" applyFont="1" applyFill="1" applyBorder="1"/>
    <xf numFmtId="0" fontId="17" fillId="0" borderId="2" xfId="0" applyFont="1" applyBorder="1" applyAlignment="1">
      <alignment vertical="center" wrapText="1"/>
    </xf>
    <xf numFmtId="0" fontId="18" fillId="2" borderId="0" xfId="0" applyFont="1" applyFill="1"/>
    <xf numFmtId="0" fontId="28" fillId="4" borderId="3" xfId="0" applyFont="1" applyFill="1" applyBorder="1" applyAlignment="1">
      <alignment vertical="center"/>
    </xf>
    <xf numFmtId="0" fontId="29" fillId="2" borderId="5" xfId="0" applyFont="1" applyFill="1" applyBorder="1" applyAlignment="1">
      <alignment vertical="center"/>
    </xf>
    <xf numFmtId="0" fontId="29" fillId="2" borderId="2" xfId="0" applyFont="1" applyFill="1" applyBorder="1" applyAlignment="1">
      <alignment vertical="center"/>
    </xf>
    <xf numFmtId="0" fontId="29" fillId="2" borderId="6" xfId="0" applyFont="1" applyFill="1" applyBorder="1" applyAlignment="1">
      <alignment vertical="center"/>
    </xf>
    <xf numFmtId="0" fontId="18" fillId="2" borderId="19" xfId="0" applyFont="1" applyFill="1" applyBorder="1" applyAlignment="1">
      <alignment vertical="center" wrapText="1"/>
    </xf>
    <xf numFmtId="0" fontId="18" fillId="5" borderId="12" xfId="0" applyFont="1" applyFill="1" applyBorder="1" applyAlignment="1">
      <alignment horizontal="left"/>
    </xf>
    <xf numFmtId="0" fontId="30" fillId="0" borderId="2" xfId="0" applyFont="1" applyBorder="1" applyAlignment="1">
      <alignment horizontal="right"/>
    </xf>
    <xf numFmtId="0" fontId="18" fillId="0" borderId="2" xfId="0" applyFont="1" applyBorder="1" applyAlignment="1">
      <alignment horizontal="left" vertical="center" wrapText="1"/>
    </xf>
    <xf numFmtId="0" fontId="18" fillId="0" borderId="2" xfId="0" applyFont="1" applyBorder="1" applyAlignment="1">
      <alignment vertical="center" wrapText="1"/>
    </xf>
    <xf numFmtId="0" fontId="18" fillId="0" borderId="0" xfId="0" applyFont="1" applyAlignment="1">
      <alignment vertical="center" wrapText="1"/>
    </xf>
    <xf numFmtId="0" fontId="30" fillId="0" borderId="0" xfId="0" applyFont="1"/>
    <xf numFmtId="0" fontId="18" fillId="0" borderId="0" xfId="0" applyFont="1"/>
    <xf numFmtId="0" fontId="30" fillId="6" borderId="0" xfId="0" applyFont="1" applyFill="1"/>
    <xf numFmtId="0" fontId="5" fillId="8" borderId="2" xfId="0" applyFont="1" applyFill="1" applyBorder="1" applyAlignment="1">
      <alignment vertical="center" wrapText="1"/>
    </xf>
    <xf numFmtId="0" fontId="5" fillId="9" borderId="2" xfId="0" applyFont="1" applyFill="1" applyBorder="1" applyAlignment="1">
      <alignment vertical="center" wrapText="1"/>
    </xf>
    <xf numFmtId="0" fontId="5" fillId="10" borderId="2" xfId="0" applyFont="1" applyFill="1" applyBorder="1" applyAlignment="1">
      <alignment vertical="center" wrapText="1"/>
    </xf>
    <xf numFmtId="0" fontId="5" fillId="11" borderId="2" xfId="0" applyFont="1" applyFill="1" applyBorder="1" applyAlignment="1">
      <alignment vertical="center" wrapText="1"/>
    </xf>
    <xf numFmtId="0" fontId="5" fillId="14" borderId="2" xfId="0" applyFont="1" applyFill="1" applyBorder="1" applyAlignment="1">
      <alignment vertical="center" wrapText="1"/>
    </xf>
    <xf numFmtId="0" fontId="5" fillId="4" borderId="2" xfId="0" applyFont="1" applyFill="1" applyBorder="1" applyAlignment="1">
      <alignment vertical="center" wrapText="1"/>
    </xf>
    <xf numFmtId="0" fontId="5" fillId="16" borderId="2" xfId="0" applyFont="1" applyFill="1" applyBorder="1" applyAlignment="1">
      <alignment vertical="center" wrapText="1"/>
    </xf>
    <xf numFmtId="0" fontId="5" fillId="17" borderId="2" xfId="0" applyFont="1" applyFill="1" applyBorder="1" applyAlignment="1">
      <alignment vertical="center" wrapText="1"/>
    </xf>
    <xf numFmtId="0" fontId="1" fillId="12" borderId="2" xfId="0" applyFont="1" applyFill="1" applyBorder="1" applyAlignment="1">
      <alignment vertical="center" wrapText="1"/>
    </xf>
    <xf numFmtId="0" fontId="1" fillId="13" borderId="2" xfId="0" applyFont="1" applyFill="1" applyBorder="1" applyAlignment="1">
      <alignment vertical="center" wrapText="1"/>
    </xf>
    <xf numFmtId="0" fontId="1" fillId="18" borderId="2" xfId="0" applyFont="1" applyFill="1" applyBorder="1" applyAlignment="1">
      <alignment vertical="center" wrapText="1"/>
    </xf>
    <xf numFmtId="0" fontId="5" fillId="18" borderId="2" xfId="0" applyFont="1" applyFill="1" applyBorder="1" applyAlignment="1">
      <alignment vertical="center" wrapText="1"/>
    </xf>
    <xf numFmtId="0" fontId="1" fillId="19" borderId="2" xfId="0" applyFont="1" applyFill="1" applyBorder="1" applyAlignment="1">
      <alignment vertical="center" wrapText="1"/>
    </xf>
    <xf numFmtId="0" fontId="1" fillId="14" borderId="2" xfId="0" applyFont="1" applyFill="1" applyBorder="1" applyAlignment="1">
      <alignment vertical="center" wrapText="1"/>
    </xf>
    <xf numFmtId="0" fontId="1" fillId="20" borderId="2" xfId="0" applyFont="1" applyFill="1" applyBorder="1" applyAlignment="1">
      <alignment vertical="center" wrapText="1"/>
    </xf>
    <xf numFmtId="0" fontId="1" fillId="22" borderId="2" xfId="0" applyFont="1" applyFill="1" applyBorder="1" applyAlignment="1">
      <alignment vertical="center" wrapText="1"/>
    </xf>
    <xf numFmtId="0" fontId="1" fillId="23" borderId="2" xfId="0" applyFont="1" applyFill="1" applyBorder="1" applyAlignment="1">
      <alignment vertical="center" wrapText="1"/>
    </xf>
    <xf numFmtId="0" fontId="1" fillId="6" borderId="2" xfId="0" applyFont="1" applyFill="1" applyBorder="1" applyAlignment="1">
      <alignment vertical="center" wrapText="1"/>
    </xf>
    <xf numFmtId="0" fontId="1" fillId="24" borderId="2" xfId="0" applyFont="1" applyFill="1" applyBorder="1" applyAlignment="1">
      <alignment vertical="center" wrapText="1"/>
    </xf>
    <xf numFmtId="0" fontId="1" fillId="3" borderId="2" xfId="0" applyFont="1" applyFill="1" applyBorder="1" applyAlignment="1">
      <alignment vertical="center" wrapText="1"/>
    </xf>
    <xf numFmtId="0" fontId="1" fillId="15" borderId="2" xfId="0" applyFont="1" applyFill="1" applyBorder="1" applyAlignment="1">
      <alignment vertical="center" wrapText="1"/>
    </xf>
    <xf numFmtId="0" fontId="5" fillId="25" borderId="2" xfId="0" applyFont="1" applyFill="1" applyBorder="1" applyAlignment="1">
      <alignment vertical="center" wrapText="1"/>
    </xf>
    <xf numFmtId="0" fontId="0" fillId="17" borderId="0" xfId="0" applyFill="1"/>
    <xf numFmtId="0" fontId="1" fillId="26" borderId="2" xfId="0" applyFont="1" applyFill="1" applyBorder="1" applyAlignment="1">
      <alignment vertical="center" wrapText="1"/>
    </xf>
    <xf numFmtId="0" fontId="5" fillId="27" borderId="2" xfId="0" applyFont="1" applyFill="1" applyBorder="1" applyAlignment="1">
      <alignment vertical="center" wrapText="1"/>
    </xf>
    <xf numFmtId="0" fontId="13" fillId="17" borderId="3" xfId="0" applyFont="1" applyFill="1" applyBorder="1" applyAlignment="1">
      <alignment vertical="center" wrapText="1"/>
    </xf>
    <xf numFmtId="0" fontId="19" fillId="17" borderId="3" xfId="0" applyFont="1" applyFill="1" applyBorder="1" applyAlignment="1">
      <alignment vertical="center"/>
    </xf>
    <xf numFmtId="0" fontId="1" fillId="17" borderId="2" xfId="0" applyFont="1" applyFill="1" applyBorder="1" applyAlignment="1">
      <alignment horizontal="left" vertical="center" wrapText="1"/>
    </xf>
    <xf numFmtId="0" fontId="5" fillId="17" borderId="0" xfId="0" applyFont="1" applyFill="1" applyAlignment="1">
      <alignment vertical="center"/>
    </xf>
    <xf numFmtId="0" fontId="2" fillId="17" borderId="3" xfId="0" applyFont="1" applyFill="1" applyBorder="1" applyAlignment="1">
      <alignment vertical="center"/>
    </xf>
    <xf numFmtId="0" fontId="1" fillId="17" borderId="0" xfId="0" applyFont="1" applyFill="1" applyAlignment="1">
      <alignment vertical="center"/>
    </xf>
    <xf numFmtId="0" fontId="1" fillId="21" borderId="2" xfId="0" applyFont="1" applyFill="1" applyBorder="1" applyAlignment="1">
      <alignment horizontal="left" vertical="center" wrapText="1"/>
    </xf>
    <xf numFmtId="0" fontId="1" fillId="17" borderId="1" xfId="0" applyFont="1" applyFill="1" applyBorder="1"/>
    <xf numFmtId="0" fontId="3" fillId="17" borderId="0" xfId="0" applyFont="1" applyFill="1" applyAlignment="1">
      <alignment horizontal="right" vertical="center" wrapText="1"/>
    </xf>
    <xf numFmtId="0" fontId="5" fillId="21" borderId="2" xfId="0" applyFont="1" applyFill="1" applyBorder="1" applyAlignment="1">
      <alignment vertical="center" wrapText="1"/>
    </xf>
    <xf numFmtId="0" fontId="1" fillId="2" borderId="1" xfId="0" applyFont="1" applyFill="1" applyBorder="1" applyAlignment="1">
      <alignment vertical="center" wrapText="1"/>
    </xf>
    <xf numFmtId="0" fontId="33" fillId="28" borderId="1" xfId="13" applyBorder="1" applyAlignment="1">
      <alignment vertical="center" wrapText="1"/>
    </xf>
    <xf numFmtId="0" fontId="5" fillId="2" borderId="1" xfId="0" applyFont="1" applyFill="1" applyBorder="1"/>
    <xf numFmtId="0" fontId="1" fillId="2" borderId="2" xfId="0" applyFont="1" applyFill="1" applyBorder="1"/>
    <xf numFmtId="0" fontId="33" fillId="28" borderId="1" xfId="13" applyBorder="1"/>
    <xf numFmtId="0" fontId="23" fillId="2" borderId="1" xfId="0" applyFont="1" applyFill="1" applyBorder="1"/>
    <xf numFmtId="0" fontId="4" fillId="2" borderId="23" xfId="0" applyFont="1" applyFill="1" applyBorder="1"/>
    <xf numFmtId="0" fontId="1" fillId="2" borderId="7" xfId="0" applyFont="1" applyFill="1" applyBorder="1"/>
    <xf numFmtId="0" fontId="23" fillId="2" borderId="7" xfId="0" applyFont="1" applyFill="1" applyBorder="1"/>
    <xf numFmtId="0" fontId="4" fillId="2" borderId="7" xfId="0" applyFont="1" applyFill="1" applyBorder="1"/>
    <xf numFmtId="0" fontId="4" fillId="2" borderId="7" xfId="0" applyFont="1" applyFill="1" applyBorder="1" applyAlignment="1">
      <alignment wrapText="1"/>
    </xf>
    <xf numFmtId="0" fontId="4" fillId="2" borderId="7" xfId="0" applyFont="1" applyFill="1" applyBorder="1" applyAlignment="1">
      <alignment vertical="center" wrapText="1"/>
    </xf>
    <xf numFmtId="0" fontId="1" fillId="2" borderId="7" xfId="0" applyFont="1" applyFill="1" applyBorder="1" applyAlignment="1">
      <alignment vertical="top" wrapText="1"/>
    </xf>
    <xf numFmtId="0" fontId="29" fillId="2" borderId="23" xfId="0" applyFont="1" applyFill="1" applyBorder="1"/>
    <xf numFmtId="0" fontId="25" fillId="2" borderId="7" xfId="0" applyFont="1" applyFill="1" applyBorder="1"/>
    <xf numFmtId="0" fontId="6" fillId="5" borderId="2" xfId="0" applyFont="1" applyFill="1" applyBorder="1" applyAlignment="1">
      <alignment horizontal="right"/>
    </xf>
    <xf numFmtId="0" fontId="1" fillId="0" borderId="1" xfId="0" applyFont="1" applyBorder="1" applyAlignment="1">
      <alignment horizontal="left"/>
    </xf>
    <xf numFmtId="0" fontId="23" fillId="0" borderId="1" xfId="0" applyFont="1" applyBorder="1" applyAlignment="1">
      <alignment horizontal="left"/>
    </xf>
    <xf numFmtId="0" fontId="18" fillId="0" borderId="1" xfId="0" applyFont="1" applyBorder="1" applyAlignment="1">
      <alignment horizontal="left"/>
    </xf>
    <xf numFmtId="0" fontId="1" fillId="2" borderId="0" xfId="0" applyFont="1" applyFill="1" applyAlignment="1">
      <alignment vertical="center" wrapText="1"/>
    </xf>
    <xf numFmtId="0" fontId="33" fillId="28" borderId="0" xfId="13" applyBorder="1" applyAlignment="1">
      <alignment vertical="center" wrapText="1"/>
    </xf>
    <xf numFmtId="0" fontId="0" fillId="0" borderId="0" xfId="0" applyAlignment="1">
      <alignment wrapText="1"/>
    </xf>
    <xf numFmtId="49" fontId="0" fillId="0" borderId="0" xfId="0" applyNumberFormat="1"/>
    <xf numFmtId="49" fontId="33" fillId="28" borderId="0" xfId="13" applyNumberFormat="1"/>
    <xf numFmtId="0" fontId="6" fillId="2" borderId="1" xfId="0" applyFont="1" applyFill="1" applyBorder="1" applyAlignment="1">
      <alignment horizontal="right"/>
    </xf>
    <xf numFmtId="0" fontId="34" fillId="0" borderId="0" xfId="0" applyFont="1"/>
    <xf numFmtId="0" fontId="35" fillId="29" borderId="27" xfId="14" applyAlignment="1">
      <alignment horizontal="right"/>
    </xf>
    <xf numFmtId="0" fontId="35" fillId="29" borderId="27" xfId="14"/>
    <xf numFmtId="0" fontId="35" fillId="29" borderId="27" xfId="14" applyAlignment="1">
      <alignment vertical="center" wrapText="1"/>
    </xf>
    <xf numFmtId="0" fontId="1" fillId="30" borderId="0" xfId="0" applyFont="1" applyFill="1"/>
    <xf numFmtId="0" fontId="2" fillId="30" borderId="3" xfId="0" applyFont="1" applyFill="1" applyBorder="1" applyAlignment="1">
      <alignment vertical="center"/>
    </xf>
    <xf numFmtId="0" fontId="5" fillId="30" borderId="0" xfId="0" applyFont="1" applyFill="1"/>
    <xf numFmtId="0" fontId="19" fillId="30" borderId="3" xfId="0" applyFont="1" applyFill="1" applyBorder="1" applyAlignment="1">
      <alignment vertical="center"/>
    </xf>
  </cellXfs>
  <cellStyles count="15">
    <cellStyle name="Bad" xfId="13" builtinId="27"/>
    <cellStyle name="Comma 2" xfId="2" xr:uid="{00000000-0005-0000-0000-000001000000}"/>
    <cellStyle name="Explanatory Text 2" xfId="6" xr:uid="{00000000-0005-0000-0000-000002000000}"/>
    <cellStyle name="Input" xfId="14" builtinId="20"/>
    <cellStyle name="Normaali 2" xfId="9" xr:uid="{00000000-0005-0000-0000-000004000000}"/>
    <cellStyle name="Normaali 3" xfId="10" xr:uid="{00000000-0005-0000-0000-000005000000}"/>
    <cellStyle name="Normal" xfId="0" builtinId="0"/>
    <cellStyle name="Normal 2" xfId="1" xr:uid="{00000000-0005-0000-0000-000007000000}"/>
    <cellStyle name="Normal 2 2" xfId="3" xr:uid="{00000000-0005-0000-0000-000008000000}"/>
    <cellStyle name="Normal 2 2 2" xfId="11" xr:uid="{00000000-0005-0000-0000-000009000000}"/>
    <cellStyle name="Normal 3" xfId="4" xr:uid="{00000000-0005-0000-0000-00000A000000}"/>
    <cellStyle name="Normal 3 2" xfId="12" xr:uid="{00000000-0005-0000-0000-00000B000000}"/>
    <cellStyle name="Standard 2" xfId="5" xr:uid="{00000000-0005-0000-0000-00000C000000}"/>
    <cellStyle name="Standard 2 2" xfId="7" xr:uid="{00000000-0005-0000-0000-00000D000000}"/>
    <cellStyle name="Standard 2 3" xfId="8" xr:uid="{00000000-0005-0000-0000-00000E000000}"/>
  </cellStyles>
  <dxfs count="3">
    <dxf>
      <numFmt numFmtId="30" formatCode="@"/>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KEVING~1/AppData/Local/Temp/JIRA-1.csv" TargetMode="External"/><Relationship Id="rId1" Type="http://schemas.openxmlformats.org/officeDocument/2006/relationships/externalLinkPath" Target="/Users/KEVING~1/AppData/Local/Temp/JIRA-1.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IRA-1"/>
    </sheetNames>
    <sheetDataSet>
      <sheetData sheetId="0">
        <row r="1">
          <cell r="B1" t="str">
            <v>Issue key</v>
          </cell>
          <cell r="C1" t="str">
            <v>Issue id</v>
          </cell>
          <cell r="D1" t="str">
            <v>Summary</v>
          </cell>
        </row>
        <row r="2">
          <cell r="B2" t="str">
            <v>NORDEAML-882</v>
          </cell>
          <cell r="C2">
            <v>12408</v>
          </cell>
          <cell r="D2" t="str">
            <v>Initial and Final Valuation</v>
          </cell>
        </row>
        <row r="3">
          <cell r="B3" t="str">
            <v>NORDEAML-864</v>
          </cell>
          <cell r="C3">
            <v>12132</v>
          </cell>
          <cell r="D3" t="str">
            <v>Asian Option = Average Rate Option (daily asianing only)</v>
          </cell>
        </row>
        <row r="4">
          <cell r="B4" t="str">
            <v>NORDEAML-912</v>
          </cell>
          <cell r="C4">
            <v>13553</v>
          </cell>
          <cell r="D4" t="str">
            <v>Asian Option = Average Rate Option (non-daily asianing)</v>
          </cell>
        </row>
        <row r="5">
          <cell r="B5" t="str">
            <v>NORDEAML-894</v>
          </cell>
          <cell r="C5">
            <v>12433</v>
          </cell>
          <cell r="D5" t="str">
            <v>NordeaPrio11</v>
          </cell>
        </row>
        <row r="6">
          <cell r="B6" t="str">
            <v>NORDEAML-875</v>
          </cell>
          <cell r="C6">
            <v>12143</v>
          </cell>
          <cell r="D6" t="str">
            <v>Capital protected 18</v>
          </cell>
        </row>
        <row r="7">
          <cell r="B7" t="str">
            <v>NORDEAML-911</v>
          </cell>
          <cell r="C7">
            <v>13526</v>
          </cell>
          <cell r="D7" t="str">
            <v>Autocallable: Call barrier und Coupon barrier von Masken mappen</v>
          </cell>
        </row>
        <row r="8">
          <cell r="B8" t="str">
            <v>NORDEAML-793</v>
          </cell>
          <cell r="C8">
            <v>12061</v>
          </cell>
          <cell r="D8" t="str">
            <v>Capital protected 14</v>
          </cell>
        </row>
        <row r="9">
          <cell r="B9" t="str">
            <v>NORDEAML-908</v>
          </cell>
          <cell r="C9">
            <v>13239</v>
          </cell>
          <cell r="D9" t="str">
            <v>Bonds: FX Underlying Table</v>
          </cell>
        </row>
        <row r="10">
          <cell r="B10" t="str">
            <v>NORDEAML-794</v>
          </cell>
          <cell r="C10">
            <v>12062</v>
          </cell>
          <cell r="D10" t="str">
            <v>Capital protected 15</v>
          </cell>
        </row>
        <row r="11">
          <cell r="B11" t="str">
            <v>NORDEAML-859</v>
          </cell>
          <cell r="C11">
            <v>12127</v>
          </cell>
          <cell r="D11" t="str">
            <v>Non-capital protected 31</v>
          </cell>
        </row>
        <row r="12">
          <cell r="B12" t="str">
            <v>NORDEAML-857</v>
          </cell>
          <cell r="C12">
            <v>12125</v>
          </cell>
          <cell r="D12" t="str">
            <v>Non-capital protected 29</v>
          </cell>
        </row>
        <row r="13">
          <cell r="B13" t="str">
            <v>NORDEAML-910</v>
          </cell>
          <cell r="C13">
            <v>13496</v>
          </cell>
          <cell r="D13" t="str">
            <v>Custom Investment Amounts for Non-EUR currencies</v>
          </cell>
        </row>
        <row r="14">
          <cell r="B14" t="str">
            <v>NORDEAML-871</v>
          </cell>
          <cell r="C14">
            <v>12139</v>
          </cell>
          <cell r="D14" t="str">
            <v>Non-capital protected 40</v>
          </cell>
        </row>
        <row r="15">
          <cell r="B15" t="str">
            <v>NORDEAML-850</v>
          </cell>
          <cell r="C15">
            <v>12118</v>
          </cell>
          <cell r="D15" t="str">
            <v>Non-capital protected 22</v>
          </cell>
        </row>
        <row r="16">
          <cell r="B16" t="str">
            <v>NORDEAML-792</v>
          </cell>
          <cell r="C16">
            <v>12060</v>
          </cell>
          <cell r="D16" t="str">
            <v>Capital protected 12</v>
          </cell>
        </row>
        <row r="17">
          <cell r="B17" t="str">
            <v>NORDEAML-800</v>
          </cell>
          <cell r="C17">
            <v>12068</v>
          </cell>
          <cell r="D17" t="str">
            <v>CLN floating 19</v>
          </cell>
        </row>
        <row r="18">
          <cell r="B18" t="str">
            <v>NORDEAML-776</v>
          </cell>
          <cell r="C18">
            <v>12044</v>
          </cell>
          <cell r="D18" t="str">
            <v>CLN floating 7</v>
          </cell>
        </row>
        <row r="19">
          <cell r="B19" t="str">
            <v>NORDEAML-694</v>
          </cell>
          <cell r="C19">
            <v>11962</v>
          </cell>
          <cell r="D19" t="str">
            <v>Credit overlay 17</v>
          </cell>
        </row>
        <row r="20">
          <cell r="B20" t="str">
            <v>NORDEAML-802</v>
          </cell>
          <cell r="C20">
            <v>12070</v>
          </cell>
          <cell r="D20" t="str">
            <v>CLN floating 21</v>
          </cell>
        </row>
        <row r="21">
          <cell r="B21" t="str">
            <v>NORDEAML-723</v>
          </cell>
          <cell r="C21">
            <v>11991</v>
          </cell>
          <cell r="D21" t="str">
            <v>Credit overlay 10</v>
          </cell>
        </row>
        <row r="22">
          <cell r="B22" t="str">
            <v>NORDEAML-843</v>
          </cell>
          <cell r="C22">
            <v>12111</v>
          </cell>
          <cell r="D22" t="str">
            <v>TARF</v>
          </cell>
        </row>
        <row r="23">
          <cell r="B23" t="str">
            <v>NORDEAML-851</v>
          </cell>
          <cell r="C23">
            <v>12119</v>
          </cell>
          <cell r="D23" t="str">
            <v>Non-capital protected 23</v>
          </cell>
        </row>
        <row r="24">
          <cell r="B24" t="str">
            <v>NORDEAML-828</v>
          </cell>
          <cell r="C24">
            <v>12096</v>
          </cell>
          <cell r="D24" t="str">
            <v>Non-capital protected 2</v>
          </cell>
        </row>
        <row r="25">
          <cell r="B25" t="str">
            <v>NORDEAML-799</v>
          </cell>
          <cell r="C25">
            <v>12067</v>
          </cell>
          <cell r="D25" t="str">
            <v>Capital protected 21</v>
          </cell>
        </row>
        <row r="26">
          <cell r="B26" t="str">
            <v>NORDEAML-867</v>
          </cell>
          <cell r="C26">
            <v>12135</v>
          </cell>
          <cell r="D26" t="str">
            <v>Non-capital protected 36</v>
          </cell>
        </row>
        <row r="27">
          <cell r="B27" t="str">
            <v>NORDEAML-852</v>
          </cell>
          <cell r="C27">
            <v>12120</v>
          </cell>
          <cell r="D27" t="str">
            <v>Non-capital protected 24</v>
          </cell>
        </row>
        <row r="28">
          <cell r="B28" t="str">
            <v>NORDEAML-841</v>
          </cell>
          <cell r="C28">
            <v>12109</v>
          </cell>
          <cell r="D28" t="str">
            <v>Non-capital protected 15</v>
          </cell>
        </row>
        <row r="29">
          <cell r="B29" t="str">
            <v>NORDEAML-764</v>
          </cell>
          <cell r="C29">
            <v>12032</v>
          </cell>
          <cell r="D29" t="str">
            <v>CLN fixed 9</v>
          </cell>
        </row>
        <row r="30">
          <cell r="B30" t="str">
            <v>NORDEAML-713</v>
          </cell>
          <cell r="C30">
            <v>11981</v>
          </cell>
          <cell r="D30" t="str">
            <v>CLN floating 10</v>
          </cell>
        </row>
        <row r="31">
          <cell r="B31" t="str">
            <v>NORDEAML-819</v>
          </cell>
          <cell r="C31">
            <v>12087</v>
          </cell>
          <cell r="D31" t="str">
            <v>Capital protected 37</v>
          </cell>
        </row>
        <row r="32">
          <cell r="B32" t="str">
            <v>NORDEAML-777</v>
          </cell>
          <cell r="C32">
            <v>12045</v>
          </cell>
          <cell r="D32" t="str">
            <v>CLN floating 8</v>
          </cell>
        </row>
        <row r="33">
          <cell r="B33" t="str">
            <v>NORDEAML-854</v>
          </cell>
          <cell r="C33">
            <v>12122</v>
          </cell>
          <cell r="D33" t="str">
            <v>Non-capital protected 26</v>
          </cell>
        </row>
        <row r="34">
          <cell r="B34" t="str">
            <v>NORDEAML-797</v>
          </cell>
          <cell r="C34">
            <v>12065</v>
          </cell>
          <cell r="D34" t="str">
            <v>Capital protected 19</v>
          </cell>
        </row>
        <row r="35">
          <cell r="B35" t="str">
            <v>NORDEAML-781</v>
          </cell>
          <cell r="C35">
            <v>12049</v>
          </cell>
          <cell r="D35" t="str">
            <v>CLN floating 14</v>
          </cell>
        </row>
        <row r="36">
          <cell r="B36" t="str">
            <v>NORDEAML-860</v>
          </cell>
          <cell r="C36">
            <v>12128</v>
          </cell>
          <cell r="D36" t="str">
            <v>Non-capital protected 32</v>
          </cell>
        </row>
        <row r="37">
          <cell r="B37" t="str">
            <v>NORDEAML-750</v>
          </cell>
          <cell r="C37">
            <v>12018</v>
          </cell>
          <cell r="D37" t="str">
            <v>Minimum redemption 18</v>
          </cell>
        </row>
        <row r="38">
          <cell r="B38" t="str">
            <v>NORDEAML-817</v>
          </cell>
          <cell r="C38">
            <v>12085</v>
          </cell>
          <cell r="D38" t="str">
            <v>Capital protected 35</v>
          </cell>
        </row>
        <row r="39">
          <cell r="B39" t="str">
            <v>NORDEAML-858</v>
          </cell>
          <cell r="C39">
            <v>12126</v>
          </cell>
          <cell r="D39" t="str">
            <v>Non-capital protected 30</v>
          </cell>
        </row>
        <row r="40">
          <cell r="B40" t="str">
            <v>NORDEAML-766</v>
          </cell>
          <cell r="C40">
            <v>12034</v>
          </cell>
          <cell r="D40" t="str">
            <v>CLN fixed 11</v>
          </cell>
        </row>
        <row r="41">
          <cell r="B41" t="str">
            <v>NORDEAML-744</v>
          </cell>
          <cell r="C41">
            <v>12012</v>
          </cell>
          <cell r="D41" t="str">
            <v>Minimum redemption 12</v>
          </cell>
        </row>
        <row r="42">
          <cell r="B42" t="str">
            <v>NORDEAML-722</v>
          </cell>
          <cell r="C42">
            <v>11990</v>
          </cell>
          <cell r="D42" t="str">
            <v>Credit overlay 9</v>
          </cell>
        </row>
        <row r="43">
          <cell r="B43" t="str">
            <v>NORDEAML-820</v>
          </cell>
          <cell r="C43">
            <v>12088</v>
          </cell>
          <cell r="D43" t="str">
            <v>Capital protected 38</v>
          </cell>
        </row>
        <row r="44">
          <cell r="B44" t="str">
            <v>NORDEAML-823</v>
          </cell>
          <cell r="C44">
            <v>12091</v>
          </cell>
          <cell r="D44" t="str">
            <v>Capital protected 41</v>
          </cell>
        </row>
        <row r="45">
          <cell r="B45" t="str">
            <v>NORDEAML-747</v>
          </cell>
          <cell r="C45">
            <v>12015</v>
          </cell>
          <cell r="D45" t="str">
            <v>Minimum redemption 15</v>
          </cell>
        </row>
        <row r="46">
          <cell r="B46" t="str">
            <v>NORDEAML-716</v>
          </cell>
          <cell r="C46">
            <v>11984</v>
          </cell>
          <cell r="D46" t="str">
            <v>Credit overlay 3</v>
          </cell>
        </row>
        <row r="47">
          <cell r="B47" t="str">
            <v>NORDEAML-688</v>
          </cell>
          <cell r="C47">
            <v>11956</v>
          </cell>
          <cell r="D47" t="str">
            <v>Autocall 8</v>
          </cell>
        </row>
        <row r="48">
          <cell r="B48" t="str">
            <v>NORDEAML-726</v>
          </cell>
          <cell r="C48">
            <v>11994</v>
          </cell>
          <cell r="D48" t="str">
            <v>Credit overlay 15</v>
          </cell>
        </row>
        <row r="49">
          <cell r="B49" t="str">
            <v>NORDEAML-803</v>
          </cell>
          <cell r="C49">
            <v>12071</v>
          </cell>
          <cell r="D49" t="str">
            <v>CLN floating 22</v>
          </cell>
        </row>
        <row r="50">
          <cell r="B50" t="str">
            <v>NORDEAML-779</v>
          </cell>
          <cell r="C50">
            <v>12047</v>
          </cell>
          <cell r="D50" t="str">
            <v>CLN floating 11</v>
          </cell>
        </row>
        <row r="51">
          <cell r="B51" t="str">
            <v>NORDEAML-811</v>
          </cell>
          <cell r="C51">
            <v>12079</v>
          </cell>
          <cell r="D51" t="str">
            <v>Capital protected 27</v>
          </cell>
        </row>
        <row r="52">
          <cell r="B52" t="str">
            <v>NORDEAML-767</v>
          </cell>
          <cell r="C52">
            <v>12035</v>
          </cell>
          <cell r="D52" t="str">
            <v>CLN fixed 12</v>
          </cell>
        </row>
        <row r="53">
          <cell r="B53" t="str">
            <v>NORDEAML-821</v>
          </cell>
          <cell r="C53">
            <v>12089</v>
          </cell>
          <cell r="D53" t="str">
            <v>Capital protected 39</v>
          </cell>
        </row>
        <row r="54">
          <cell r="B54" t="str">
            <v>NORDEAML-724</v>
          </cell>
          <cell r="C54">
            <v>11992</v>
          </cell>
          <cell r="D54" t="str">
            <v>Credit overlay 11</v>
          </cell>
        </row>
        <row r="55">
          <cell r="B55" t="str">
            <v>NORDEAML-745</v>
          </cell>
          <cell r="C55">
            <v>12013</v>
          </cell>
          <cell r="D55" t="str">
            <v>Minimum redemption 13</v>
          </cell>
        </row>
        <row r="56">
          <cell r="B56" t="str">
            <v>NORDEAML-868</v>
          </cell>
          <cell r="C56">
            <v>12136</v>
          </cell>
          <cell r="D56" t="str">
            <v>Non-capital protected 37</v>
          </cell>
        </row>
        <row r="57">
          <cell r="B57" t="str">
            <v>NORDEAML-749</v>
          </cell>
          <cell r="C57">
            <v>12017</v>
          </cell>
          <cell r="D57" t="str">
            <v>Minimum redemption 17</v>
          </cell>
        </row>
        <row r="58">
          <cell r="B58" t="str">
            <v>NORDEAML-848</v>
          </cell>
          <cell r="C58">
            <v>12116</v>
          </cell>
          <cell r="D58" t="str">
            <v>Non-capital protected 20</v>
          </cell>
        </row>
        <row r="59">
          <cell r="B59" t="str">
            <v>NORDEAML-847</v>
          </cell>
          <cell r="C59">
            <v>12115</v>
          </cell>
          <cell r="D59" t="str">
            <v>Non-capital protected 19</v>
          </cell>
        </row>
        <row r="60">
          <cell r="B60" t="str">
            <v>NORDEAML-689</v>
          </cell>
          <cell r="C60">
            <v>11957</v>
          </cell>
          <cell r="D60" t="str">
            <v>Autocall 11</v>
          </cell>
        </row>
        <row r="61">
          <cell r="B61" t="str">
            <v>NORDEAML-762</v>
          </cell>
          <cell r="C61">
            <v>12030</v>
          </cell>
          <cell r="D61" t="str">
            <v>CLN fixed 7</v>
          </cell>
        </row>
        <row r="62">
          <cell r="B62" t="str">
            <v>NORDEAML-765</v>
          </cell>
          <cell r="C62">
            <v>12033</v>
          </cell>
          <cell r="D62" t="str">
            <v>CLN fixed 10</v>
          </cell>
        </row>
        <row r="63">
          <cell r="B63" t="str">
            <v>NORDEAML-736</v>
          </cell>
          <cell r="C63">
            <v>12004</v>
          </cell>
          <cell r="D63" t="str">
            <v>Minimum redemption 4</v>
          </cell>
        </row>
        <row r="64">
          <cell r="B64" t="str">
            <v>NORDEAML-763</v>
          </cell>
          <cell r="C64">
            <v>12031</v>
          </cell>
          <cell r="D64" t="str">
            <v>CLN fixed 8</v>
          </cell>
        </row>
        <row r="65">
          <cell r="B65" t="str">
            <v>NORDEAML-879</v>
          </cell>
          <cell r="C65">
            <v>12147</v>
          </cell>
          <cell r="D65" t="str">
            <v>Capital protected 42</v>
          </cell>
        </row>
        <row r="66">
          <cell r="B66" t="str">
            <v>NORDEAML-734</v>
          </cell>
          <cell r="C66">
            <v>12002</v>
          </cell>
          <cell r="D66" t="str">
            <v>Minimum redemption 2</v>
          </cell>
        </row>
        <row r="67">
          <cell r="B67" t="str">
            <v>NORDEAML-709</v>
          </cell>
          <cell r="C67">
            <v>11977</v>
          </cell>
          <cell r="D67" t="str">
            <v>Capital protected 8</v>
          </cell>
        </row>
        <row r="68">
          <cell r="B68" t="str">
            <v>NORDEAML-715</v>
          </cell>
          <cell r="C68">
            <v>11983</v>
          </cell>
          <cell r="D68" t="str">
            <v>Credit overlay 1</v>
          </cell>
        </row>
        <row r="69">
          <cell r="B69" t="str">
            <v>NORDEAML-761</v>
          </cell>
          <cell r="C69">
            <v>12029</v>
          </cell>
          <cell r="D69" t="str">
            <v>CLN fixed 4</v>
          </cell>
        </row>
        <row r="70">
          <cell r="B70" t="str">
            <v>NORDEAML-815</v>
          </cell>
          <cell r="C70">
            <v>12083</v>
          </cell>
          <cell r="D70" t="str">
            <v>Capital protected 31</v>
          </cell>
        </row>
        <row r="71">
          <cell r="B71" t="str">
            <v>NORDEAML-814</v>
          </cell>
          <cell r="C71">
            <v>12082</v>
          </cell>
          <cell r="D71" t="str">
            <v>Capital protected 30</v>
          </cell>
        </row>
        <row r="72">
          <cell r="B72" t="str">
            <v>NORDEAML-816</v>
          </cell>
          <cell r="C72">
            <v>12084</v>
          </cell>
          <cell r="D72" t="str">
            <v>Capital protected 32</v>
          </cell>
        </row>
        <row r="73">
          <cell r="B73" t="str">
            <v>NORDEAML-780</v>
          </cell>
          <cell r="C73">
            <v>12048</v>
          </cell>
          <cell r="D73" t="str">
            <v>CLN floating 13</v>
          </cell>
        </row>
        <row r="74">
          <cell r="B74" t="str">
            <v>NORDEAML-874</v>
          </cell>
          <cell r="C74">
            <v>12142</v>
          </cell>
          <cell r="D74" t="str">
            <v>Capital protected 13</v>
          </cell>
        </row>
        <row r="75">
          <cell r="B75" t="str">
            <v>NORDEAML-755</v>
          </cell>
          <cell r="C75">
            <v>12023</v>
          </cell>
          <cell r="D75" t="str">
            <v>CLN zero 5</v>
          </cell>
        </row>
        <row r="76">
          <cell r="B76" t="str">
            <v>NORDEAML-809</v>
          </cell>
          <cell r="C76">
            <v>12077</v>
          </cell>
          <cell r="D76" t="str">
            <v>Capital protected 23</v>
          </cell>
        </row>
        <row r="77">
          <cell r="B77" t="str">
            <v>NORDEAML-909</v>
          </cell>
          <cell r="C77">
            <v>13240</v>
          </cell>
          <cell r="D77" t="str">
            <v>Bonds: CLN ITRAXX Anpassung</v>
          </cell>
        </row>
        <row r="78">
          <cell r="B78" t="str">
            <v>NORDEAML-806</v>
          </cell>
          <cell r="C78">
            <v>12074</v>
          </cell>
          <cell r="D78" t="str">
            <v>Cancellable advanced fixing interest rate swaps with call fee</v>
          </cell>
        </row>
        <row r="79">
          <cell r="B79" t="str">
            <v>NORDEAML-805</v>
          </cell>
          <cell r="C79">
            <v>12073</v>
          </cell>
          <cell r="D79" t="str">
            <v>Cancellable advanced fixing interest rate swaps</v>
          </cell>
        </row>
        <row r="80">
          <cell r="B80" t="str">
            <v>NORDEAML-837</v>
          </cell>
          <cell r="C80">
            <v>12105</v>
          </cell>
          <cell r="D80" t="str">
            <v>Non-capital protected 11</v>
          </cell>
        </row>
        <row r="81">
          <cell r="B81" t="str">
            <v>NORDEAML-849</v>
          </cell>
          <cell r="C81">
            <v>12117</v>
          </cell>
          <cell r="D81" t="str">
            <v>Non-capital protected 21</v>
          </cell>
        </row>
        <row r="82">
          <cell r="B82" t="str">
            <v>NORDEAML-853</v>
          </cell>
          <cell r="C82">
            <v>12121</v>
          </cell>
          <cell r="D82" t="str">
            <v>Non-capital protected 25</v>
          </cell>
        </row>
        <row r="83">
          <cell r="B83" t="str">
            <v>NORDEAML-796</v>
          </cell>
          <cell r="C83">
            <v>12064</v>
          </cell>
          <cell r="D83" t="str">
            <v>Capital protected 17</v>
          </cell>
        </row>
        <row r="84">
          <cell r="B84" t="str">
            <v>NORDEAML-772</v>
          </cell>
          <cell r="C84">
            <v>12040</v>
          </cell>
          <cell r="D84" t="str">
            <v>CLN floating 2</v>
          </cell>
        </row>
        <row r="85">
          <cell r="B85" t="str">
            <v>NORDEAML-862</v>
          </cell>
          <cell r="C85">
            <v>12130</v>
          </cell>
          <cell r="D85" t="str">
            <v>Forward Extra (European)</v>
          </cell>
        </row>
        <row r="86">
          <cell r="B86" t="str">
            <v>NORDEAML-870</v>
          </cell>
          <cell r="C86">
            <v>12138</v>
          </cell>
          <cell r="D86" t="str">
            <v>Non-capital protected 39</v>
          </cell>
        </row>
        <row r="87">
          <cell r="B87" t="str">
            <v>NORDEAML-869</v>
          </cell>
          <cell r="C87">
            <v>12137</v>
          </cell>
          <cell r="D87" t="str">
            <v>Non-capital protected 38</v>
          </cell>
        </row>
        <row r="88">
          <cell r="B88" t="str">
            <v>NORDEAML-865</v>
          </cell>
          <cell r="C88">
            <v>12133</v>
          </cell>
          <cell r="D88" t="str">
            <v>Non-capital protected 34</v>
          </cell>
        </row>
        <row r="89">
          <cell r="B89" t="str">
            <v>NORDEAML-725</v>
          </cell>
          <cell r="C89">
            <v>11993</v>
          </cell>
          <cell r="D89" t="str">
            <v>Credit overlay 14</v>
          </cell>
        </row>
        <row r="90">
          <cell r="B90" t="str">
            <v>NORDEAML-720</v>
          </cell>
          <cell r="C90">
            <v>11988</v>
          </cell>
          <cell r="D90" t="str">
            <v>Credit overlay 7</v>
          </cell>
        </row>
        <row r="91">
          <cell r="B91" t="str">
            <v>NORDEAML-727</v>
          </cell>
          <cell r="C91">
            <v>11995</v>
          </cell>
          <cell r="D91" t="str">
            <v>Credit overlay 16</v>
          </cell>
        </row>
        <row r="92">
          <cell r="B92" t="str">
            <v>NORDEAML-818</v>
          </cell>
          <cell r="C92">
            <v>12086</v>
          </cell>
          <cell r="D92" t="str">
            <v>Capital protected 36</v>
          </cell>
        </row>
        <row r="93">
          <cell r="B93" t="str">
            <v>NORDEAML-782</v>
          </cell>
          <cell r="C93">
            <v>12050</v>
          </cell>
          <cell r="D93" t="str">
            <v>CLN floating 15</v>
          </cell>
        </row>
        <row r="94">
          <cell r="B94" t="str">
            <v>NORDEAML-783</v>
          </cell>
          <cell r="C94">
            <v>12051</v>
          </cell>
          <cell r="D94" t="str">
            <v>CLN floating 16</v>
          </cell>
        </row>
        <row r="95">
          <cell r="B95" t="str">
            <v>NORDEAML-775</v>
          </cell>
          <cell r="C95">
            <v>12043</v>
          </cell>
          <cell r="D95" t="str">
            <v>CLN floating 6</v>
          </cell>
        </row>
        <row r="96">
          <cell r="B96" t="str">
            <v>NORDEAML-759</v>
          </cell>
          <cell r="C96">
            <v>12027</v>
          </cell>
          <cell r="D96" t="str">
            <v>CLN fixed 2</v>
          </cell>
        </row>
        <row r="97">
          <cell r="B97" t="str">
            <v>NORDEAML-784</v>
          </cell>
          <cell r="C97">
            <v>12052</v>
          </cell>
          <cell r="D97" t="str">
            <v>CLN floating 17</v>
          </cell>
        </row>
        <row r="98">
          <cell r="B98" t="str">
            <v>NORDEAML-778</v>
          </cell>
          <cell r="C98">
            <v>12046</v>
          </cell>
          <cell r="D98" t="str">
            <v>CLN floating 9</v>
          </cell>
        </row>
        <row r="99">
          <cell r="B99" t="str">
            <v>NORDEAML-804</v>
          </cell>
          <cell r="C99">
            <v>12072</v>
          </cell>
          <cell r="D99" t="str">
            <v>CLN floating 23</v>
          </cell>
        </row>
        <row r="100">
          <cell r="B100" t="str">
            <v>NORDEAML-721</v>
          </cell>
          <cell r="C100">
            <v>11989</v>
          </cell>
          <cell r="D100" t="str">
            <v>Credit overlay 8</v>
          </cell>
        </row>
        <row r="101">
          <cell r="B101" t="str">
            <v>NORDEAML-760</v>
          </cell>
          <cell r="C101">
            <v>12028</v>
          </cell>
          <cell r="D101" t="str">
            <v>CLN fixed 3</v>
          </cell>
        </row>
        <row r="102">
          <cell r="B102" t="str">
            <v>NORDEAML-770</v>
          </cell>
          <cell r="C102">
            <v>12038</v>
          </cell>
          <cell r="D102" t="str">
            <v>Quanto Swap</v>
          </cell>
        </row>
        <row r="103">
          <cell r="B103" t="str">
            <v>NORDEAML-769</v>
          </cell>
          <cell r="C103">
            <v>12037</v>
          </cell>
          <cell r="D103" t="str">
            <v>Fixed/Fixed Currency Swap</v>
          </cell>
        </row>
        <row r="104">
          <cell r="B104" t="str">
            <v>NORDEAML-768</v>
          </cell>
          <cell r="C104">
            <v>12036</v>
          </cell>
          <cell r="D104" t="str">
            <v>Cross Currency Swap</v>
          </cell>
        </row>
        <row r="105">
          <cell r="B105" t="str">
            <v>NORDEAML-752</v>
          </cell>
          <cell r="C105">
            <v>12020</v>
          </cell>
          <cell r="D105" t="str">
            <v>CLN zero 2</v>
          </cell>
        </row>
        <row r="106">
          <cell r="B106" t="str">
            <v>NORDEAML-751</v>
          </cell>
          <cell r="C106">
            <v>12019</v>
          </cell>
          <cell r="D106" t="str">
            <v>CLN zero 1</v>
          </cell>
        </row>
        <row r="107">
          <cell r="B107" t="str">
            <v>NORDEAML-758</v>
          </cell>
          <cell r="C107">
            <v>12026</v>
          </cell>
          <cell r="D107" t="str">
            <v>CLN fixed 1</v>
          </cell>
        </row>
        <row r="108">
          <cell r="B108" t="str">
            <v>NORDEAML-748</v>
          </cell>
          <cell r="C108">
            <v>12016</v>
          </cell>
          <cell r="D108" t="str">
            <v>Minimum redemption 16</v>
          </cell>
        </row>
        <row r="109">
          <cell r="B109" t="str">
            <v>NORDEAML-757</v>
          </cell>
          <cell r="C109">
            <v>12025</v>
          </cell>
          <cell r="D109" t="str">
            <v>CLN zero 7</v>
          </cell>
        </row>
        <row r="110">
          <cell r="B110" t="str">
            <v>NORDEAML-753</v>
          </cell>
          <cell r="C110">
            <v>12021</v>
          </cell>
          <cell r="D110" t="str">
            <v>CLN zero 3</v>
          </cell>
        </row>
        <row r="111">
          <cell r="B111" t="str">
            <v>NORDEAML-754</v>
          </cell>
          <cell r="C111">
            <v>12022</v>
          </cell>
          <cell r="D111" t="str">
            <v>CLN zero 4</v>
          </cell>
        </row>
        <row r="112">
          <cell r="B112" t="str">
            <v>NORDEAML-756</v>
          </cell>
          <cell r="C112">
            <v>12024</v>
          </cell>
          <cell r="D112" t="str">
            <v>CLN zero 6</v>
          </cell>
        </row>
        <row r="113">
          <cell r="B113" t="str">
            <v>NORDEAML-742</v>
          </cell>
          <cell r="C113">
            <v>12010</v>
          </cell>
          <cell r="D113" t="str">
            <v>Minimum redemption 10</v>
          </cell>
        </row>
        <row r="114">
          <cell r="B114" t="str">
            <v>NORDEAML-746</v>
          </cell>
          <cell r="C114">
            <v>12014</v>
          </cell>
          <cell r="D114" t="str">
            <v>Minimum redemption 14</v>
          </cell>
        </row>
        <row r="115">
          <cell r="B115" t="str">
            <v>NORDEAML-743</v>
          </cell>
          <cell r="C115">
            <v>12011</v>
          </cell>
          <cell r="D115" t="str">
            <v>Minimum redemption 11</v>
          </cell>
        </row>
        <row r="116">
          <cell r="B116" t="str">
            <v>NORDEAML-735</v>
          </cell>
          <cell r="C116">
            <v>12003</v>
          </cell>
          <cell r="D116" t="str">
            <v>Minimum redemption 3</v>
          </cell>
        </row>
        <row r="117">
          <cell r="B117" t="str">
            <v>NORDEAML-733</v>
          </cell>
          <cell r="C117">
            <v>12001</v>
          </cell>
          <cell r="D117" t="str">
            <v>Minimum redemption 1</v>
          </cell>
        </row>
        <row r="118">
          <cell r="B118" t="str">
            <v>NORDEAML-740</v>
          </cell>
          <cell r="C118">
            <v>12008</v>
          </cell>
          <cell r="D118" t="str">
            <v>Minimum redemption 8</v>
          </cell>
        </row>
        <row r="119">
          <cell r="B119" t="str">
            <v>NORDEAML-738</v>
          </cell>
          <cell r="C119">
            <v>12006</v>
          </cell>
          <cell r="D119" t="str">
            <v>Minimum redemption 6</v>
          </cell>
        </row>
        <row r="120">
          <cell r="B120" t="str">
            <v>NORDEAML-737</v>
          </cell>
          <cell r="C120">
            <v>12005</v>
          </cell>
          <cell r="D120" t="str">
            <v>Minimum redemption 5</v>
          </cell>
        </row>
        <row r="121">
          <cell r="B121" t="str">
            <v>NORDEAML-732</v>
          </cell>
          <cell r="C121">
            <v>12000</v>
          </cell>
          <cell r="D121" t="str">
            <v>FX Swap</v>
          </cell>
        </row>
        <row r="122">
          <cell r="B122" t="str">
            <v>NORDEAML-731</v>
          </cell>
          <cell r="C122">
            <v>11999</v>
          </cell>
          <cell r="D122" t="str">
            <v>FX Forward ND</v>
          </cell>
        </row>
        <row r="123">
          <cell r="B123" t="str">
            <v>NORDEAML-739</v>
          </cell>
          <cell r="C123">
            <v>12007</v>
          </cell>
          <cell r="D123" t="str">
            <v>Minimum redemption 7</v>
          </cell>
        </row>
        <row r="124">
          <cell r="B124" t="str">
            <v>NORDEAML-730</v>
          </cell>
          <cell r="C124">
            <v>11998</v>
          </cell>
          <cell r="D124" t="str">
            <v>Basis Swap</v>
          </cell>
        </row>
        <row r="125">
          <cell r="B125" t="str">
            <v>NORDEAML-729</v>
          </cell>
          <cell r="C125">
            <v>11997</v>
          </cell>
          <cell r="D125" t="str">
            <v>IRS with Floor</v>
          </cell>
        </row>
        <row r="126">
          <cell r="B126" t="str">
            <v>NORDEAML-728</v>
          </cell>
          <cell r="C126">
            <v>11996</v>
          </cell>
          <cell r="D126" t="str">
            <v>Interest Rate Swap</v>
          </cell>
        </row>
        <row r="127">
          <cell r="B127" t="str">
            <v>NORDEAML-719</v>
          </cell>
          <cell r="C127">
            <v>11987</v>
          </cell>
          <cell r="D127" t="str">
            <v>Credit overlay 6</v>
          </cell>
        </row>
        <row r="128">
          <cell r="B128" t="str">
            <v>NORDEAML-717</v>
          </cell>
          <cell r="C128">
            <v>11985</v>
          </cell>
          <cell r="D128" t="str">
            <v>Credit overlay 4</v>
          </cell>
        </row>
        <row r="129">
          <cell r="B129" t="str">
            <v>NORDEAML-718</v>
          </cell>
          <cell r="C129">
            <v>11986</v>
          </cell>
          <cell r="D129" t="str">
            <v>Credit overlay 5</v>
          </cell>
        </row>
        <row r="130">
          <cell r="B130" t="str">
            <v>NORDEAML-714</v>
          </cell>
          <cell r="C130">
            <v>11982</v>
          </cell>
          <cell r="D130" t="str">
            <v>FX Option</v>
          </cell>
        </row>
        <row r="131">
          <cell r="B131" t="str">
            <v>NORDEAML-697</v>
          </cell>
          <cell r="C131">
            <v>11965</v>
          </cell>
          <cell r="D131" t="str">
            <v>Package Collar</v>
          </cell>
        </row>
        <row r="132">
          <cell r="B132" t="str">
            <v>NORDEAML-695</v>
          </cell>
          <cell r="C132">
            <v>11963</v>
          </cell>
          <cell r="D132" t="str">
            <v>Cap</v>
          </cell>
        </row>
        <row r="133">
          <cell r="B133" t="str">
            <v>NORDEAML-696</v>
          </cell>
          <cell r="C133">
            <v>11964</v>
          </cell>
          <cell r="D133" t="str">
            <v>Floor</v>
          </cell>
        </row>
        <row r="134">
          <cell r="B134" t="str">
            <v>NORDEAML-681</v>
          </cell>
          <cell r="C134">
            <v>11949</v>
          </cell>
          <cell r="D134" t="str">
            <v>FX Forward</v>
          </cell>
        </row>
        <row r="135">
          <cell r="B135" t="str">
            <v>NORDEAML-682</v>
          </cell>
          <cell r="C135">
            <v>11950</v>
          </cell>
          <cell r="D135" t="str">
            <v>FX Forward with time Option</v>
          </cell>
        </row>
        <row r="136">
          <cell r="B136" t="str">
            <v>NORDEAML-872</v>
          </cell>
          <cell r="C136">
            <v>12140</v>
          </cell>
          <cell r="D136" t="str">
            <v>Non-capital protected 41</v>
          </cell>
        </row>
        <row r="137">
          <cell r="B137" t="str">
            <v>NORDEAML-881</v>
          </cell>
          <cell r="C137">
            <v>12404</v>
          </cell>
          <cell r="D137" t="str">
            <v>Refactoring - marketData</v>
          </cell>
        </row>
        <row r="138">
          <cell r="B138" t="str">
            <v>NORDEAML-808</v>
          </cell>
          <cell r="C138">
            <v>12076</v>
          </cell>
          <cell r="D138" t="str">
            <v>Capital protected 22</v>
          </cell>
        </row>
        <row r="139">
          <cell r="B139" t="str">
            <v>NORDEAML-807</v>
          </cell>
          <cell r="C139">
            <v>12075</v>
          </cell>
          <cell r="D139" t="str">
            <v>Zero Coupon CPI Swap</v>
          </cell>
        </row>
        <row r="140">
          <cell r="B140" t="str">
            <v>NORDEAML-787</v>
          </cell>
          <cell r="C140">
            <v>12055</v>
          </cell>
          <cell r="D140" t="str">
            <v>Overnight Index Swap</v>
          </cell>
        </row>
        <row r="141">
          <cell r="B141" t="str">
            <v>NORDEAML-785</v>
          </cell>
          <cell r="C141">
            <v>12053</v>
          </cell>
          <cell r="D141" t="str">
            <v>CLN floating 18</v>
          </cell>
        </row>
        <row r="142">
          <cell r="B142" t="str">
            <v>NORDEAML-866</v>
          </cell>
          <cell r="C142">
            <v>12134</v>
          </cell>
          <cell r="D142" t="str">
            <v>Non-capital protected 35</v>
          </cell>
        </row>
        <row r="143">
          <cell r="B143" t="str">
            <v>NORDEAML-708</v>
          </cell>
          <cell r="C143">
            <v>11976</v>
          </cell>
          <cell r="D143" t="str">
            <v>Capital protected 7</v>
          </cell>
        </row>
        <row r="144">
          <cell r="B144" t="str">
            <v>NORDEAML-710</v>
          </cell>
          <cell r="C144">
            <v>11978</v>
          </cell>
          <cell r="D144" t="str">
            <v>CLN fixed 5</v>
          </cell>
        </row>
        <row r="145">
          <cell r="B145" t="str">
            <v>NORDEAML-827</v>
          </cell>
          <cell r="C145">
            <v>12095</v>
          </cell>
          <cell r="D145" t="str">
            <v>Non-capital protected 1</v>
          </cell>
        </row>
        <row r="146">
          <cell r="B146" t="str">
            <v>NORDEAML-684</v>
          </cell>
          <cell r="C146">
            <v>11952</v>
          </cell>
          <cell r="D146" t="str">
            <v>Autocall 2</v>
          </cell>
        </row>
        <row r="147">
          <cell r="B147" t="str">
            <v>NORDEAML-683</v>
          </cell>
          <cell r="C147">
            <v>11951</v>
          </cell>
          <cell r="D147" t="str">
            <v>Autocall 1</v>
          </cell>
        </row>
        <row r="148">
          <cell r="B148" t="str">
            <v>NORDEAML-873</v>
          </cell>
          <cell r="C148">
            <v>12141</v>
          </cell>
          <cell r="D148" t="str">
            <v>Capital protected 9</v>
          </cell>
        </row>
        <row r="149">
          <cell r="B149" t="str">
            <v>NORDEAML-907</v>
          </cell>
          <cell r="C149">
            <v>12590</v>
          </cell>
          <cell r="D149" t="str">
            <v>OnHold</v>
          </cell>
        </row>
        <row r="150">
          <cell r="B150" t="str">
            <v>NORDEAML-892</v>
          </cell>
          <cell r="C150">
            <v>12431</v>
          </cell>
          <cell r="D150" t="str">
            <v>NordeaPrio9</v>
          </cell>
        </row>
        <row r="151">
          <cell r="B151" t="str">
            <v>NORDEAML-712</v>
          </cell>
          <cell r="C151">
            <v>11980</v>
          </cell>
          <cell r="D151" t="str">
            <v>CLN floating 5</v>
          </cell>
        </row>
        <row r="152">
          <cell r="B152" t="str">
            <v>NORDEAML-786</v>
          </cell>
          <cell r="C152">
            <v>12054</v>
          </cell>
          <cell r="D152" t="str">
            <v>Advanced Reset IRS</v>
          </cell>
        </row>
        <row r="153">
          <cell r="B153" t="str">
            <v>NORDEAML-702</v>
          </cell>
          <cell r="C153">
            <v>11970</v>
          </cell>
          <cell r="D153" t="str">
            <v>Capital protected 1</v>
          </cell>
        </row>
        <row r="154">
          <cell r="B154" t="str">
            <v>NORDEAML-824</v>
          </cell>
          <cell r="C154">
            <v>12092</v>
          </cell>
          <cell r="D154" t="str">
            <v>Constant maturity swaps</v>
          </cell>
        </row>
        <row r="155">
          <cell r="B155" t="str">
            <v>NORDEAML-661</v>
          </cell>
          <cell r="C155">
            <v>11929</v>
          </cell>
          <cell r="D155" t="str">
            <v>Certificate 1</v>
          </cell>
        </row>
        <row r="156">
          <cell r="B156" t="str">
            <v>NORDEAML-801</v>
          </cell>
          <cell r="C156">
            <v>12069</v>
          </cell>
          <cell r="D156" t="str">
            <v>CLN floating 20</v>
          </cell>
        </row>
        <row r="157">
          <cell r="B157" t="str">
            <v>NORDEAML-889</v>
          </cell>
          <cell r="C157">
            <v>12428</v>
          </cell>
          <cell r="D157" t="str">
            <v>NordeaPrio6</v>
          </cell>
        </row>
        <row r="158">
          <cell r="B158" t="str">
            <v>NORDEAML-886</v>
          </cell>
          <cell r="C158">
            <v>12425</v>
          </cell>
          <cell r="D158" t="str">
            <v>NordeoPrio3</v>
          </cell>
        </row>
        <row r="159">
          <cell r="B159" t="str">
            <v>NORDEAML-896</v>
          </cell>
          <cell r="C159">
            <v>12435</v>
          </cell>
          <cell r="D159" t="str">
            <v>NordeaPrio13</v>
          </cell>
        </row>
        <row r="160">
          <cell r="B160" t="str">
            <v>NORDEAML-885</v>
          </cell>
          <cell r="C160">
            <v>12416</v>
          </cell>
          <cell r="D160" t="str">
            <v>NordeaPrio2</v>
          </cell>
        </row>
        <row r="161">
          <cell r="B161" t="str">
            <v>NORDEAML-706</v>
          </cell>
          <cell r="C161">
            <v>11974</v>
          </cell>
          <cell r="D161" t="str">
            <v>Capital protected 5</v>
          </cell>
        </row>
        <row r="162">
          <cell r="B162" t="str">
            <v>NORDEAML-878</v>
          </cell>
          <cell r="C162">
            <v>12146</v>
          </cell>
          <cell r="D162" t="str">
            <v>Capital protected 34</v>
          </cell>
        </row>
        <row r="163">
          <cell r="B163" t="str">
            <v>NORDEAML-877</v>
          </cell>
          <cell r="C163">
            <v>12145</v>
          </cell>
          <cell r="D163" t="str">
            <v>Capital protected 33</v>
          </cell>
        </row>
        <row r="164">
          <cell r="B164" t="str">
            <v>NORDEAML-876</v>
          </cell>
          <cell r="C164">
            <v>12144</v>
          </cell>
          <cell r="D164" t="str">
            <v>Capital protected 24</v>
          </cell>
        </row>
        <row r="165">
          <cell r="B165" t="str">
            <v>NORDEAML-880</v>
          </cell>
          <cell r="C165">
            <v>12148</v>
          </cell>
          <cell r="D165" t="str">
            <v>Non-capital protected 17</v>
          </cell>
        </row>
        <row r="166">
          <cell r="B166" t="str">
            <v>NORDEAML-707</v>
          </cell>
          <cell r="C166">
            <v>11975</v>
          </cell>
          <cell r="D166" t="str">
            <v>Capital protected 6</v>
          </cell>
        </row>
        <row r="167">
          <cell r="B167" t="str">
            <v>NORDEAML-686</v>
          </cell>
          <cell r="C167">
            <v>11954</v>
          </cell>
          <cell r="D167" t="str">
            <v>Autocall 6</v>
          </cell>
        </row>
        <row r="168">
          <cell r="B168" t="str">
            <v>NORDEAML-791</v>
          </cell>
          <cell r="C168">
            <v>12059</v>
          </cell>
          <cell r="D168" t="str">
            <v>Capital protected 11</v>
          </cell>
        </row>
        <row r="169">
          <cell r="B169" t="str">
            <v>NORDEAML-839</v>
          </cell>
          <cell r="C169">
            <v>12107</v>
          </cell>
          <cell r="D169" t="str">
            <v>Non-capital protected 13</v>
          </cell>
        </row>
        <row r="170">
          <cell r="B170" t="str">
            <v>NORDEAML-861</v>
          </cell>
          <cell r="C170">
            <v>12129</v>
          </cell>
          <cell r="D170" t="str">
            <v>Non-capital protected 33</v>
          </cell>
        </row>
        <row r="171">
          <cell r="B171" t="str">
            <v>NORDEAML-773</v>
          </cell>
          <cell r="C171">
            <v>12041</v>
          </cell>
          <cell r="D171" t="str">
            <v>CLN floating 3</v>
          </cell>
        </row>
        <row r="172">
          <cell r="B172" t="str">
            <v>NORDEAML-901</v>
          </cell>
          <cell r="C172">
            <v>12465</v>
          </cell>
          <cell r="D172" t="str">
            <v>Price/ Cost Data</v>
          </cell>
        </row>
        <row r="173">
          <cell r="B173" t="str">
            <v>NORDEAML-904</v>
          </cell>
          <cell r="C173">
            <v>12516</v>
          </cell>
          <cell r="D173" t="str">
            <v>Batch Schnittstelle Voraussetzungen</v>
          </cell>
        </row>
        <row r="174">
          <cell r="B174" t="str">
            <v>NORDEAML-899</v>
          </cell>
          <cell r="C174">
            <v>12463</v>
          </cell>
          <cell r="D174" t="str">
            <v>Daily Data Interface</v>
          </cell>
        </row>
        <row r="175">
          <cell r="B175" t="str">
            <v>NORDEAML-705</v>
          </cell>
          <cell r="C175">
            <v>11973</v>
          </cell>
          <cell r="D175" t="str">
            <v>Capital protected 4</v>
          </cell>
        </row>
        <row r="176">
          <cell r="B176" t="str">
            <v>NORDEAML-704</v>
          </cell>
          <cell r="C176">
            <v>11972</v>
          </cell>
          <cell r="D176" t="str">
            <v>Capital protected 3</v>
          </cell>
        </row>
        <row r="177">
          <cell r="B177" t="str">
            <v>NORDEAML-842</v>
          </cell>
          <cell r="C177">
            <v>12110</v>
          </cell>
          <cell r="D177" t="str">
            <v>Non-capital protected 16</v>
          </cell>
        </row>
        <row r="178">
          <cell r="B178" t="str">
            <v>NORDEAML-774</v>
          </cell>
          <cell r="C178">
            <v>12042</v>
          </cell>
          <cell r="D178" t="str">
            <v>CLN floating 4</v>
          </cell>
        </row>
        <row r="179">
          <cell r="B179" t="str">
            <v>NORDEAML-692</v>
          </cell>
          <cell r="C179">
            <v>11960</v>
          </cell>
          <cell r="D179" t="str">
            <v>Credit overlay 12</v>
          </cell>
        </row>
        <row r="180">
          <cell r="B180" t="str">
            <v>NORDEAML-693</v>
          </cell>
          <cell r="C180">
            <v>11961</v>
          </cell>
          <cell r="D180" t="str">
            <v>Credit overlay 13</v>
          </cell>
        </row>
        <row r="181">
          <cell r="B181" t="str">
            <v>NORDEAML-711</v>
          </cell>
          <cell r="C181">
            <v>11979</v>
          </cell>
          <cell r="D181" t="str">
            <v>CLN fixed 6</v>
          </cell>
        </row>
        <row r="182">
          <cell r="B182" t="str">
            <v>NORDEAML-691</v>
          </cell>
          <cell r="C182">
            <v>11959</v>
          </cell>
          <cell r="D182" t="str">
            <v>Credit overlay 2</v>
          </cell>
        </row>
        <row r="183">
          <cell r="B183" t="str">
            <v>NORDEAML-771</v>
          </cell>
          <cell r="C183">
            <v>12039</v>
          </cell>
          <cell r="D183" t="str">
            <v>CLN floating 1</v>
          </cell>
        </row>
        <row r="184">
          <cell r="B184" t="str">
            <v>NORDEAML-703</v>
          </cell>
          <cell r="C184">
            <v>11971</v>
          </cell>
          <cell r="D184" t="str">
            <v>Capital protected 2</v>
          </cell>
        </row>
        <row r="185">
          <cell r="B185" t="str">
            <v>NORDEAML-690</v>
          </cell>
          <cell r="C185">
            <v>11958</v>
          </cell>
          <cell r="D185" t="str">
            <v>Autocall 12</v>
          </cell>
        </row>
        <row r="186">
          <cell r="B186" t="str">
            <v>NORDEAML-700</v>
          </cell>
          <cell r="C186">
            <v>11968</v>
          </cell>
          <cell r="D186" t="str">
            <v>Autocall 10</v>
          </cell>
        </row>
        <row r="187">
          <cell r="B187" t="str">
            <v>NORDEAML-701</v>
          </cell>
          <cell r="C187">
            <v>11969</v>
          </cell>
          <cell r="D187" t="str">
            <v>Autocall 9</v>
          </cell>
        </row>
        <row r="188">
          <cell r="B188" t="str">
            <v>NORDEAML-687</v>
          </cell>
          <cell r="C188">
            <v>11955</v>
          </cell>
          <cell r="D188" t="str">
            <v>Autocall 7</v>
          </cell>
        </row>
        <row r="189">
          <cell r="B189" t="str">
            <v>NORDEAML-698</v>
          </cell>
          <cell r="C189">
            <v>11966</v>
          </cell>
          <cell r="D189" t="str">
            <v>Autocall 4</v>
          </cell>
        </row>
        <row r="190">
          <cell r="B190" t="str">
            <v>NORDEAML-699</v>
          </cell>
          <cell r="C190">
            <v>11967</v>
          </cell>
          <cell r="D190" t="str">
            <v>Autocall 5</v>
          </cell>
        </row>
        <row r="191">
          <cell r="B191" t="str">
            <v>NORDEAML-685</v>
          </cell>
          <cell r="C191">
            <v>11953</v>
          </cell>
          <cell r="D191" t="str">
            <v>Autocall 3</v>
          </cell>
        </row>
        <row r="192">
          <cell r="B192" t="str">
            <v>NORDEAML-668</v>
          </cell>
          <cell r="C192">
            <v>11936</v>
          </cell>
          <cell r="D192" t="str">
            <v>Certificate 8</v>
          </cell>
        </row>
        <row r="193">
          <cell r="B193" t="str">
            <v>NORDEAML-667</v>
          </cell>
          <cell r="C193">
            <v>11935</v>
          </cell>
          <cell r="D193" t="str">
            <v>Certificate 7</v>
          </cell>
        </row>
        <row r="194">
          <cell r="B194" t="str">
            <v>NORDEAML-666</v>
          </cell>
          <cell r="C194">
            <v>11934</v>
          </cell>
          <cell r="D194" t="str">
            <v>Certificate 6</v>
          </cell>
        </row>
        <row r="195">
          <cell r="B195" t="str">
            <v>NORDEAML-665</v>
          </cell>
          <cell r="C195">
            <v>11933</v>
          </cell>
          <cell r="D195" t="str">
            <v>Certificate 5</v>
          </cell>
        </row>
        <row r="196">
          <cell r="B196" t="str">
            <v>NORDEAML-664</v>
          </cell>
          <cell r="C196">
            <v>11932</v>
          </cell>
          <cell r="D196" t="str">
            <v>Certificate 4</v>
          </cell>
        </row>
        <row r="197">
          <cell r="B197" t="str">
            <v>NORDEAML-663</v>
          </cell>
          <cell r="C197">
            <v>11931</v>
          </cell>
          <cell r="D197" t="str">
            <v>Certificate 3</v>
          </cell>
        </row>
        <row r="198">
          <cell r="B198" t="str">
            <v>NORDEAML-662</v>
          </cell>
          <cell r="C198">
            <v>11930</v>
          </cell>
          <cell r="D198" t="str">
            <v>Certificate 2</v>
          </cell>
        </row>
        <row r="199">
          <cell r="B199" t="str">
            <v>NORDEAML-790</v>
          </cell>
          <cell r="C199">
            <v>12058</v>
          </cell>
          <cell r="D199" t="str">
            <v>Capital protected 10</v>
          </cell>
        </row>
        <row r="200">
          <cell r="B200" t="str">
            <v>NORDEAML-822</v>
          </cell>
          <cell r="C200">
            <v>12090</v>
          </cell>
          <cell r="D200" t="str">
            <v>Capital protected 40</v>
          </cell>
        </row>
        <row r="201">
          <cell r="B201" t="str">
            <v>NORDEAML-844</v>
          </cell>
          <cell r="C201">
            <v>12112</v>
          </cell>
          <cell r="D201" t="str">
            <v>FX Accumulator</v>
          </cell>
        </row>
        <row r="202">
          <cell r="B202" t="str">
            <v>NORDEAML-838</v>
          </cell>
          <cell r="C202">
            <v>12106</v>
          </cell>
          <cell r="D202" t="str">
            <v>Non-capital protected 12</v>
          </cell>
        </row>
        <row r="203">
          <cell r="B203" t="str">
            <v>NORDEAML-835</v>
          </cell>
          <cell r="C203">
            <v>12103</v>
          </cell>
          <cell r="D203" t="str">
            <v>Non-capital protected 9</v>
          </cell>
        </row>
        <row r="204">
          <cell r="B204" t="str">
            <v>NORDEAML-855</v>
          </cell>
          <cell r="C204">
            <v>12123</v>
          </cell>
          <cell r="D204" t="str">
            <v>Non-capital protected 27</v>
          </cell>
        </row>
        <row r="205">
          <cell r="B205" t="str">
            <v>NORDEAML-846</v>
          </cell>
          <cell r="C205">
            <v>12114</v>
          </cell>
          <cell r="D205" t="str">
            <v>Non-capital protected 18</v>
          </cell>
        </row>
        <row r="206">
          <cell r="B206" t="str">
            <v>NORDEAML-887</v>
          </cell>
          <cell r="C206">
            <v>12426</v>
          </cell>
          <cell r="D206" t="str">
            <v>NordeaPrio4</v>
          </cell>
        </row>
        <row r="207">
          <cell r="B207" t="str">
            <v>NORDEAML-888</v>
          </cell>
          <cell r="C207">
            <v>12427</v>
          </cell>
          <cell r="D207" t="str">
            <v>NordeaPrio5</v>
          </cell>
        </row>
        <row r="208">
          <cell r="B208" t="str">
            <v>NORDEAML-833</v>
          </cell>
          <cell r="C208">
            <v>12101</v>
          </cell>
          <cell r="D208" t="str">
            <v>Non-capital protected 7</v>
          </cell>
        </row>
        <row r="209">
          <cell r="B209" t="str">
            <v>NORDEAML-830</v>
          </cell>
          <cell r="C209">
            <v>12098</v>
          </cell>
          <cell r="D209" t="str">
            <v>Non-capital protected 4</v>
          </cell>
        </row>
        <row r="210">
          <cell r="B210" t="str">
            <v>NORDEAML-810</v>
          </cell>
          <cell r="C210">
            <v>12078</v>
          </cell>
          <cell r="D210" t="str">
            <v>Capital protected 26</v>
          </cell>
        </row>
        <row r="211">
          <cell r="B211" t="str">
            <v>NORDEAML-890</v>
          </cell>
          <cell r="C211">
            <v>12429</v>
          </cell>
          <cell r="D211" t="str">
            <v>NordeaPrio7</v>
          </cell>
        </row>
        <row r="212">
          <cell r="B212" t="str">
            <v>NORDEAML-845</v>
          </cell>
          <cell r="C212">
            <v>12113</v>
          </cell>
          <cell r="D212" t="str">
            <v>Average Rate Forward</v>
          </cell>
        </row>
        <row r="213">
          <cell r="B213" t="str">
            <v>NORDEAML-863</v>
          </cell>
          <cell r="C213">
            <v>12131</v>
          </cell>
          <cell r="D213" t="str">
            <v>Average Strike Forward</v>
          </cell>
        </row>
        <row r="214">
          <cell r="B214" t="str">
            <v>NORDEAML-678</v>
          </cell>
          <cell r="C214">
            <v>11946</v>
          </cell>
          <cell r="D214" t="str">
            <v>Turbo 2</v>
          </cell>
        </row>
        <row r="215">
          <cell r="B215" t="str">
            <v>NORDEAML-680</v>
          </cell>
          <cell r="C215">
            <v>11948</v>
          </cell>
          <cell r="D215" t="str">
            <v>Turbo 4</v>
          </cell>
        </row>
        <row r="216">
          <cell r="B216" t="str">
            <v>NORDEAML-836</v>
          </cell>
          <cell r="C216">
            <v>12104</v>
          </cell>
          <cell r="D216" t="str">
            <v>Non-capital protected 10</v>
          </cell>
        </row>
        <row r="217">
          <cell r="B217" t="str">
            <v>NORDEAML-891</v>
          </cell>
          <cell r="C217">
            <v>12430</v>
          </cell>
          <cell r="D217" t="str">
            <v>NordeaPrio8</v>
          </cell>
        </row>
        <row r="218">
          <cell r="B218" t="str">
            <v>NORDEAML-856</v>
          </cell>
          <cell r="C218">
            <v>12124</v>
          </cell>
          <cell r="D218" t="str">
            <v>Non-capital protected 28</v>
          </cell>
        </row>
        <row r="219">
          <cell r="B219" t="str">
            <v>NORDEAML-829</v>
          </cell>
          <cell r="C219">
            <v>12097</v>
          </cell>
          <cell r="D219" t="str">
            <v>Non-capital protected 3</v>
          </cell>
        </row>
        <row r="220">
          <cell r="B220" t="str">
            <v>NORDEAML-831</v>
          </cell>
          <cell r="C220">
            <v>12099</v>
          </cell>
          <cell r="D220" t="str">
            <v>Non-capital protected 5</v>
          </cell>
        </row>
        <row r="221">
          <cell r="B221" t="str">
            <v>NORDEAML-832</v>
          </cell>
          <cell r="C221">
            <v>12100</v>
          </cell>
          <cell r="D221" t="str">
            <v>Non-capital protected 6</v>
          </cell>
        </row>
        <row r="222">
          <cell r="B222" t="str">
            <v>NORDEAML-812</v>
          </cell>
          <cell r="C222">
            <v>12080</v>
          </cell>
          <cell r="D222" t="str">
            <v>Capital protected 28</v>
          </cell>
        </row>
        <row r="223">
          <cell r="B223" t="str">
            <v>NORDEAML-834</v>
          </cell>
          <cell r="C223">
            <v>12102</v>
          </cell>
          <cell r="D223" t="str">
            <v>Non-capital protected 8</v>
          </cell>
        </row>
        <row r="224">
          <cell r="B224" t="str">
            <v>NORDEAML-798</v>
          </cell>
          <cell r="C224">
            <v>12066</v>
          </cell>
          <cell r="D224" t="str">
            <v>Capital protected 20</v>
          </cell>
        </row>
        <row r="225">
          <cell r="B225" t="str">
            <v>NORDEAML-893</v>
          </cell>
          <cell r="C225">
            <v>12432</v>
          </cell>
          <cell r="D225" t="str">
            <v>NordeaPrio10</v>
          </cell>
        </row>
        <row r="226">
          <cell r="B226" t="str">
            <v>NORDEAML-895</v>
          </cell>
          <cell r="C226">
            <v>12434</v>
          </cell>
          <cell r="D226" t="str">
            <v>NodeaPrio12</v>
          </cell>
        </row>
        <row r="227">
          <cell r="B227" t="str">
            <v>NORDEAML-788</v>
          </cell>
          <cell r="C227">
            <v>12056</v>
          </cell>
          <cell r="D227" t="str">
            <v>Swaption/ swap settlement</v>
          </cell>
        </row>
        <row r="228">
          <cell r="B228" t="str">
            <v>NORDEAML-789</v>
          </cell>
          <cell r="C228">
            <v>12057</v>
          </cell>
          <cell r="D228" t="str">
            <v>Swaption/ cash settlement</v>
          </cell>
        </row>
        <row r="229">
          <cell r="B229" t="str">
            <v>NORDEAML-825</v>
          </cell>
          <cell r="C229">
            <v>12093</v>
          </cell>
          <cell r="D229" t="str">
            <v>FX Option Knock IN</v>
          </cell>
        </row>
        <row r="230">
          <cell r="B230" t="str">
            <v>NORDEAML-826</v>
          </cell>
          <cell r="C230">
            <v>12094</v>
          </cell>
          <cell r="D230" t="str">
            <v>FX Option Knock Out</v>
          </cell>
        </row>
        <row r="231">
          <cell r="B231" t="str">
            <v>NORDEAML-813</v>
          </cell>
          <cell r="C231">
            <v>12081</v>
          </cell>
          <cell r="D231" t="str">
            <v>Capital protected 29</v>
          </cell>
        </row>
        <row r="232">
          <cell r="B232" t="str">
            <v>NORDEAML-795</v>
          </cell>
          <cell r="C232">
            <v>12063</v>
          </cell>
          <cell r="D232" t="str">
            <v>Capital protected 16</v>
          </cell>
        </row>
        <row r="233">
          <cell r="B233" t="str">
            <v>NORDEAML-900</v>
          </cell>
          <cell r="C233">
            <v>12464</v>
          </cell>
          <cell r="D233" t="str">
            <v>Marktdaten - Underlyings</v>
          </cell>
        </row>
        <row r="234">
          <cell r="B234" t="str">
            <v>NORDEAML-676</v>
          </cell>
          <cell r="C234">
            <v>11944</v>
          </cell>
          <cell r="D234" t="str">
            <v>Mini future 4</v>
          </cell>
        </row>
        <row r="235">
          <cell r="B235" t="str">
            <v>NORDEAML-675</v>
          </cell>
          <cell r="C235">
            <v>11943</v>
          </cell>
          <cell r="D235" t="str">
            <v>Mini future 3</v>
          </cell>
        </row>
        <row r="236">
          <cell r="B236" t="str">
            <v>NORDEAML-674</v>
          </cell>
          <cell r="C236">
            <v>11942</v>
          </cell>
          <cell r="D236" t="str">
            <v>Mini future 2</v>
          </cell>
        </row>
        <row r="237">
          <cell r="B237" t="str">
            <v>NORDEAML-673</v>
          </cell>
          <cell r="C237">
            <v>11941</v>
          </cell>
          <cell r="D237" t="str">
            <v>Mini future 1</v>
          </cell>
        </row>
        <row r="238">
          <cell r="B238" t="str">
            <v>NORDEAML-679</v>
          </cell>
          <cell r="C238">
            <v>11947</v>
          </cell>
          <cell r="D238" t="str">
            <v>Turbo 3</v>
          </cell>
        </row>
        <row r="239">
          <cell r="B239" t="str">
            <v>NORDEAML-677</v>
          </cell>
          <cell r="C239">
            <v>11945</v>
          </cell>
          <cell r="D239" t="str">
            <v>Turbo 1</v>
          </cell>
        </row>
        <row r="240">
          <cell r="B240" t="str">
            <v>NORDEAML-672</v>
          </cell>
          <cell r="C240">
            <v>11940</v>
          </cell>
          <cell r="D240" t="str">
            <v>Warrant 4</v>
          </cell>
        </row>
        <row r="241">
          <cell r="B241" t="str">
            <v>NORDEAML-671</v>
          </cell>
          <cell r="C241">
            <v>11939</v>
          </cell>
          <cell r="D241" t="str">
            <v>Warrant 3</v>
          </cell>
        </row>
        <row r="242">
          <cell r="B242" t="str">
            <v>NORDEAML-670</v>
          </cell>
          <cell r="C242">
            <v>11938</v>
          </cell>
          <cell r="D242" t="str">
            <v>Warrant 2</v>
          </cell>
        </row>
        <row r="243">
          <cell r="B243" t="str">
            <v>NORDEAML-669</v>
          </cell>
          <cell r="C243">
            <v>11937</v>
          </cell>
          <cell r="D243" t="str">
            <v>Warrant 1</v>
          </cell>
        </row>
        <row r="244">
          <cell r="B244" t="str">
            <v>NORDEAML-897</v>
          </cell>
          <cell r="C244">
            <v>12461</v>
          </cell>
          <cell r="D244" t="str">
            <v>Testumgebung vorbereiten</v>
          </cell>
        </row>
        <row r="245">
          <cell r="B245" t="str">
            <v>NORDEAML-905</v>
          </cell>
          <cell r="C245">
            <v>12522</v>
          </cell>
          <cell r="D245" t="str">
            <v>General Product Information</v>
          </cell>
        </row>
        <row r="246">
          <cell r="B246" t="str">
            <v>NORDEAML-884</v>
          </cell>
          <cell r="C246">
            <v>12415</v>
          </cell>
          <cell r="D246" t="str">
            <v>NordeaPrio1</v>
          </cell>
        </row>
        <row r="247">
          <cell r="B247" t="str">
            <v>NORDEAML-898</v>
          </cell>
          <cell r="C247">
            <v>12462</v>
          </cell>
          <cell r="D247" t="str">
            <v>UserzugÃ¤nge vorhanden</v>
          </cell>
        </row>
        <row r="248">
          <cell r="B248" t="str">
            <v>NORDEAML-902</v>
          </cell>
          <cell r="C248">
            <v>12466</v>
          </cell>
          <cell r="D248" t="str">
            <v>Unique Identifier</v>
          </cell>
        </row>
        <row r="249">
          <cell r="B249" t="str">
            <v>NORDEAML-903</v>
          </cell>
          <cell r="C249">
            <v>12467</v>
          </cell>
          <cell r="D249" t="str">
            <v>Interne Version = Externe Version</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B35" totalsRowShown="0" headerRowDxfId="2">
  <autoFilter ref="A1:B35" xr:uid="{00000000-0009-0000-0100-000001000000}"/>
  <tableColumns count="2">
    <tableColumn id="1" xr3:uid="{00000000-0010-0000-0000-000001000000}" name="Upside"/>
    <tableColumn id="2" xr3:uid="{00000000-0010-0000-0000-000002000000}" name="Payout"/>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le3" displayName="Tabelle3" ref="D1:E41" totalsRowShown="0">
  <autoFilter ref="D1:E41" xr:uid="{00000000-0009-0000-0100-000003000000}"/>
  <tableColumns count="2">
    <tableColumn id="1" xr3:uid="{00000000-0010-0000-0100-000001000000}" name="Downside" dataDxfId="1"/>
    <tableColumn id="2" xr3:uid="{00000000-0010-0000-0100-000002000000}" name="Payout" dataDxfId="0"/>
  </tableColumns>
  <tableStyleInfo name="TableStyleLight1" showFirstColumn="0" showLastColumn="0" showRowStripes="1" showColumnStripes="0"/>
</table>
</file>

<file path=xl/theme/theme1.xml><?xml version="1.0" encoding="utf-8"?>
<a:theme xmlns:a="http://schemas.openxmlformats.org/drawingml/2006/main" name="Nordea">
  <a:themeElements>
    <a:clrScheme name="Nordea">
      <a:dk1>
        <a:srgbClr val="191919"/>
      </a:dk1>
      <a:lt1>
        <a:srgbClr val="FFFFFF"/>
      </a:lt1>
      <a:dk2>
        <a:srgbClr val="005284"/>
      </a:dk2>
      <a:lt2>
        <a:srgbClr val="779ABC"/>
      </a:lt2>
      <a:accent1>
        <a:srgbClr val="A9AF00"/>
      </a:accent1>
      <a:accent2>
        <a:srgbClr val="D1D175"/>
      </a:accent2>
      <a:accent3>
        <a:srgbClr val="CCD8DE"/>
      </a:accent3>
      <a:accent4>
        <a:srgbClr val="AA0000"/>
      </a:accent4>
      <a:accent5>
        <a:srgbClr val="CC6600"/>
      </a:accent5>
      <a:accent6>
        <a:srgbClr val="E8BD00"/>
      </a:accent6>
      <a:hlink>
        <a:srgbClr val="005284"/>
      </a:hlink>
      <a:folHlink>
        <a:srgbClr val="660033"/>
      </a:folHlink>
    </a:clrScheme>
    <a:fontScheme name="Nordea">
      <a:majorFont>
        <a:latin typeface="Arial"/>
        <a:ea typeface="Arial"/>
        <a:cs typeface="Arial"/>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Arial"/>
        <a:cs typeface="Arial"/>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Norde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9999" dist="19999" dir="5400000" rotWithShape="0">
              <a:srgbClr val="000000">
                <a:alpha val="37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tint val="99000"/>
          </a:scheme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custClrLst>
    <a:custClr name="Brand blue">
      <a:srgbClr val="005284"/>
    </a:custClr>
    <a:custClr name="Brand blue 01">
      <a:srgbClr val="779ABC"/>
    </a:custClr>
    <a:custClr name="Brand blue 02">
      <a:srgbClr val="CCD8DE"/>
    </a:custClr>
    <a:custClr name="Brand blue 03">
      <a:srgbClr val="E5EAEF"/>
    </a:custClr>
    <a:custClr name="Dust Green 01">
      <a:srgbClr val="968F69"/>
    </a:custClr>
    <a:custClr name="Dust Green 02">
      <a:srgbClr val="C5BC89"/>
    </a:custClr>
    <a:custClr name="Dust Green 03">
      <a:srgbClr val="D9D5BE"/>
    </a:custClr>
    <a:custClr name="Cool Grey 01">
      <a:srgbClr val="999999"/>
    </a:custClr>
    <a:custClr name="Cool Grey 02">
      <a:srgbClr val="CCCCCC"/>
    </a:custClr>
    <a:custClr name="Cool Grey 03">
      <a:srgbClr val="E4E3E3"/>
    </a:custClr>
    <a:custClr name="Green 01">
      <a:srgbClr val="A9AF00"/>
    </a:custClr>
    <a:custClr name="Green 02">
      <a:srgbClr val="D8DB7F"/>
    </a:custClr>
    <a:custClr name="Green 03">
      <a:srgbClr val="EFF1CC"/>
    </a:custClr>
    <a:custClr name="Dark Blue">
      <a:srgbClr val="003366"/>
    </a:custClr>
    <a:custClr name="Orange">
      <a:srgbClr val="CC6600"/>
    </a:custClr>
    <a:custClr name="Dark Orange">
      <a:srgbClr val="CC3300"/>
    </a:custClr>
    <a:custClr name="Brown">
      <a:srgbClr val="AA0000"/>
    </a:custClr>
    <a:custClr name="Yellow">
      <a:srgbClr val="E8BD00"/>
    </a:custClr>
    <a:custClr name="Red">
      <a:srgbClr val="C1004F"/>
    </a:custClr>
    <a:custClr name="Petrol">
      <a:srgbClr val="660033"/>
    </a:custClr>
    <a:custClr name="Olive">
      <a:srgbClr val="999933"/>
    </a:custClr>
    <a:custClr name="Light Olive">
      <a:srgbClr val="F3EFC3"/>
    </a:custClr>
  </a:custClr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pageSetUpPr fitToPage="1"/>
  </sheetPr>
  <dimension ref="A1:N52"/>
  <sheetViews>
    <sheetView showGridLines="0" topLeftCell="L1" zoomScale="85" zoomScaleNormal="85" workbookViewId="0">
      <selection activeCell="L16" sqref="L16"/>
    </sheetView>
  </sheetViews>
  <sheetFormatPr defaultColWidth="9" defaultRowHeight="15"/>
  <cols>
    <col min="1" max="1" width="17.125" style="4" bestFit="1" customWidth="1"/>
    <col min="2" max="2" width="37.375" style="1" customWidth="1"/>
    <col min="3" max="5" width="36.5" style="1" customWidth="1"/>
    <col min="6" max="6" width="42.125" style="1" customWidth="1"/>
    <col min="7" max="7" width="39.5" style="1" customWidth="1"/>
    <col min="8" max="8" width="35" style="1" customWidth="1"/>
    <col min="9" max="9" width="32.5" style="1" customWidth="1"/>
    <col min="10" max="10" width="42.125" style="1" customWidth="1"/>
    <col min="11" max="11" width="40.625" style="1" customWidth="1"/>
    <col min="12" max="14" width="36.5" style="1" customWidth="1"/>
    <col min="15" max="16384" width="9" style="1"/>
  </cols>
  <sheetData>
    <row r="1" spans="1:14">
      <c r="B1" s="1" t="s">
        <v>0</v>
      </c>
      <c r="C1" s="1" t="s">
        <v>1</v>
      </c>
      <c r="D1" s="1" t="s">
        <v>2</v>
      </c>
      <c r="E1" s="1" t="s">
        <v>3</v>
      </c>
      <c r="F1" s="1" t="s">
        <v>4</v>
      </c>
      <c r="G1" s="1" t="s">
        <v>5</v>
      </c>
      <c r="H1" s="1" t="s">
        <v>6</v>
      </c>
      <c r="I1" s="1" t="s">
        <v>7</v>
      </c>
      <c r="J1" s="1" t="s">
        <v>4</v>
      </c>
      <c r="K1" s="1" t="s">
        <v>8</v>
      </c>
      <c r="L1" s="1" t="s">
        <v>9</v>
      </c>
      <c r="M1" s="1" t="s">
        <v>10</v>
      </c>
      <c r="N1" s="172" t="s">
        <v>11</v>
      </c>
    </row>
    <row r="2" spans="1:14">
      <c r="A2" s="8"/>
      <c r="B2" s="117" t="s">
        <v>12</v>
      </c>
      <c r="C2" s="117" t="s">
        <v>13</v>
      </c>
      <c r="D2" s="117" t="s">
        <v>14</v>
      </c>
      <c r="E2" s="117" t="s">
        <v>15</v>
      </c>
      <c r="F2" s="117" t="s">
        <v>16</v>
      </c>
      <c r="G2" s="117" t="s">
        <v>17</v>
      </c>
      <c r="H2" s="117" t="s">
        <v>14</v>
      </c>
      <c r="I2" s="117" t="s">
        <v>18</v>
      </c>
      <c r="J2" s="117" t="s">
        <v>19</v>
      </c>
      <c r="K2" s="117" t="s">
        <v>20</v>
      </c>
      <c r="L2" s="117" t="s">
        <v>13</v>
      </c>
      <c r="M2" s="117" t="s">
        <v>21</v>
      </c>
      <c r="N2" s="172" t="s">
        <v>22</v>
      </c>
    </row>
    <row r="3" spans="1:14" ht="15.75">
      <c r="A3" s="9"/>
      <c r="B3" s="174" t="s">
        <v>23</v>
      </c>
      <c r="C3" s="174" t="s">
        <v>24</v>
      </c>
      <c r="D3" s="174" t="s">
        <v>25</v>
      </c>
      <c r="E3" s="174" t="s">
        <v>26</v>
      </c>
      <c r="F3" s="174" t="s">
        <v>27</v>
      </c>
      <c r="G3" s="174" t="s">
        <v>28</v>
      </c>
      <c r="H3" s="174" t="s">
        <v>29</v>
      </c>
      <c r="I3" s="174" t="s">
        <v>30</v>
      </c>
      <c r="J3" s="174" t="s">
        <v>31</v>
      </c>
      <c r="K3" s="174" t="s">
        <v>32</v>
      </c>
      <c r="L3" s="174" t="s">
        <v>33</v>
      </c>
      <c r="M3" s="174" t="s">
        <v>34</v>
      </c>
      <c r="N3" s="173" t="s">
        <v>35</v>
      </c>
    </row>
    <row r="4" spans="1:14">
      <c r="A4" s="10" t="s">
        <v>36</v>
      </c>
      <c r="B4" s="175" t="s">
        <v>37</v>
      </c>
      <c r="C4" s="175" t="s">
        <v>37</v>
      </c>
      <c r="D4" s="175" t="s">
        <v>37</v>
      </c>
      <c r="E4" s="175" t="s">
        <v>37</v>
      </c>
      <c r="F4" s="175" t="s">
        <v>37</v>
      </c>
      <c r="G4" s="175" t="s">
        <v>37</v>
      </c>
      <c r="H4" s="176" t="s">
        <v>37</v>
      </c>
      <c r="I4" s="176" t="s">
        <v>37</v>
      </c>
      <c r="J4" s="175" t="s">
        <v>37</v>
      </c>
      <c r="K4" s="175" t="s">
        <v>37</v>
      </c>
      <c r="L4" s="175" t="s">
        <v>37</v>
      </c>
      <c r="M4" s="175" t="s">
        <v>37</v>
      </c>
      <c r="N4" s="175" t="s">
        <v>37</v>
      </c>
    </row>
    <row r="5" spans="1:14">
      <c r="A5" s="10" t="s">
        <v>38</v>
      </c>
      <c r="B5" s="175" t="s">
        <v>39</v>
      </c>
      <c r="C5" s="175" t="s">
        <v>39</v>
      </c>
      <c r="D5" s="175" t="s">
        <v>39</v>
      </c>
      <c r="E5" s="175" t="s">
        <v>39</v>
      </c>
      <c r="F5" s="175" t="s">
        <v>39</v>
      </c>
      <c r="G5" s="175" t="s">
        <v>39</v>
      </c>
      <c r="H5" s="175" t="s">
        <v>40</v>
      </c>
      <c r="I5" s="175" t="s">
        <v>41</v>
      </c>
      <c r="J5" s="175" t="s">
        <v>39</v>
      </c>
      <c r="K5" s="175" t="s">
        <v>39</v>
      </c>
      <c r="L5" s="175" t="s">
        <v>40</v>
      </c>
      <c r="M5" s="175" t="s">
        <v>39</v>
      </c>
      <c r="N5" s="175" t="s">
        <v>39</v>
      </c>
    </row>
    <row r="6" spans="1:14">
      <c r="A6" s="10" t="s">
        <v>42</v>
      </c>
      <c r="B6" s="175" t="s">
        <v>43</v>
      </c>
      <c r="C6" s="175" t="s">
        <v>44</v>
      </c>
      <c r="D6" s="11" t="s">
        <v>45</v>
      </c>
      <c r="E6" s="11" t="s">
        <v>46</v>
      </c>
      <c r="F6" s="11" t="s">
        <v>43</v>
      </c>
      <c r="G6" s="11" t="s">
        <v>47</v>
      </c>
      <c r="H6" s="175" t="s">
        <v>45</v>
      </c>
      <c r="I6" s="175" t="s">
        <v>44</v>
      </c>
      <c r="J6" s="11" t="s">
        <v>44</v>
      </c>
      <c r="K6" s="11" t="s">
        <v>46</v>
      </c>
      <c r="L6" s="175" t="s">
        <v>44</v>
      </c>
      <c r="M6" s="175" t="s">
        <v>44</v>
      </c>
      <c r="N6" s="11" t="s">
        <v>43</v>
      </c>
    </row>
    <row r="7" spans="1:14">
      <c r="A7" s="10" t="s">
        <v>48</v>
      </c>
      <c r="B7" s="175"/>
      <c r="C7" s="175"/>
      <c r="D7" s="11" t="s">
        <v>44</v>
      </c>
      <c r="E7" s="11"/>
      <c r="F7" s="11" t="s">
        <v>49</v>
      </c>
      <c r="G7" s="11"/>
      <c r="H7" s="175" t="s">
        <v>44</v>
      </c>
      <c r="I7" s="175"/>
      <c r="J7" s="11" t="s">
        <v>49</v>
      </c>
      <c r="K7" s="11"/>
      <c r="L7" s="175"/>
      <c r="M7" s="175"/>
      <c r="N7" s="11"/>
    </row>
    <row r="8" spans="1:14" ht="135.75" thickBot="1">
      <c r="A8" s="20" t="s">
        <v>50</v>
      </c>
      <c r="B8" s="95" t="s">
        <v>51</v>
      </c>
      <c r="C8" s="95" t="s">
        <v>52</v>
      </c>
      <c r="D8" s="95" t="s">
        <v>53</v>
      </c>
      <c r="E8" s="95" t="s">
        <v>54</v>
      </c>
      <c r="F8" s="95" t="s">
        <v>55</v>
      </c>
      <c r="G8" s="95" t="s">
        <v>56</v>
      </c>
      <c r="H8" s="95" t="s">
        <v>57</v>
      </c>
      <c r="I8" s="95" t="s">
        <v>58</v>
      </c>
      <c r="J8" s="95" t="s">
        <v>59</v>
      </c>
      <c r="K8" s="95" t="s">
        <v>60</v>
      </c>
      <c r="L8" s="95" t="s">
        <v>61</v>
      </c>
      <c r="M8" s="95" t="s">
        <v>52</v>
      </c>
      <c r="N8" s="95" t="s">
        <v>62</v>
      </c>
    </row>
    <row r="9" spans="1:14" ht="15.75" thickBot="1">
      <c r="A9" s="100" t="s">
        <v>63</v>
      </c>
      <c r="B9" s="58">
        <v>1260</v>
      </c>
      <c r="C9" s="58">
        <v>1260</v>
      </c>
      <c r="D9" s="58">
        <v>1260</v>
      </c>
      <c r="E9" s="58">
        <v>1260</v>
      </c>
      <c r="F9" s="58">
        <v>1260</v>
      </c>
      <c r="G9" s="58">
        <v>1260</v>
      </c>
      <c r="H9" s="58">
        <v>1260</v>
      </c>
      <c r="I9" s="58">
        <v>1260</v>
      </c>
      <c r="J9" s="58">
        <v>1260</v>
      </c>
      <c r="K9" s="58">
        <v>1260</v>
      </c>
      <c r="L9" s="58">
        <v>1260</v>
      </c>
      <c r="M9" s="58">
        <v>1260</v>
      </c>
      <c r="N9" s="58">
        <v>1260</v>
      </c>
    </row>
    <row r="10" spans="1:14">
      <c r="A10" s="260" t="s">
        <v>64</v>
      </c>
      <c r="B10" s="236"/>
      <c r="C10" s="236"/>
      <c r="D10" s="236"/>
      <c r="E10" s="236"/>
      <c r="F10" s="236"/>
      <c r="G10" s="236"/>
      <c r="H10" s="236"/>
      <c r="I10" s="236"/>
      <c r="J10" s="236"/>
      <c r="K10" s="236"/>
      <c r="L10" s="236"/>
      <c r="M10" s="236"/>
      <c r="N10" s="236"/>
    </row>
    <row r="11" spans="1:14">
      <c r="A11" s="260" t="s">
        <v>65</v>
      </c>
      <c r="B11" s="236"/>
      <c r="C11" s="236"/>
      <c r="D11" s="236"/>
      <c r="E11" s="236"/>
      <c r="F11" s="236"/>
      <c r="G11" s="236"/>
      <c r="H11" s="236"/>
      <c r="I11" s="236"/>
      <c r="J11" s="236"/>
      <c r="K11" s="236"/>
      <c r="L11" s="236"/>
      <c r="M11" s="236"/>
      <c r="N11" s="236"/>
    </row>
    <row r="12" spans="1:14">
      <c r="A12" s="260" t="s">
        <v>66</v>
      </c>
      <c r="B12" s="236" t="s">
        <v>67</v>
      </c>
      <c r="C12" s="236" t="s">
        <v>67</v>
      </c>
      <c r="D12" s="236" t="s">
        <v>67</v>
      </c>
      <c r="E12" s="236" t="s">
        <v>67</v>
      </c>
      <c r="F12" s="236" t="s">
        <v>68</v>
      </c>
      <c r="G12" s="236" t="s">
        <v>67</v>
      </c>
      <c r="H12" s="236" t="s">
        <v>67</v>
      </c>
      <c r="I12" s="236" t="s">
        <v>67</v>
      </c>
      <c r="J12" s="236" t="s">
        <v>68</v>
      </c>
      <c r="K12" s="236" t="s">
        <v>67</v>
      </c>
      <c r="L12" s="236" t="s">
        <v>67</v>
      </c>
      <c r="M12" s="236" t="s">
        <v>67</v>
      </c>
      <c r="N12" s="236" t="s">
        <v>67</v>
      </c>
    </row>
    <row r="13" spans="1:14">
      <c r="A13" s="260" t="s">
        <v>66</v>
      </c>
      <c r="B13" s="236" t="s">
        <v>69</v>
      </c>
      <c r="C13" s="236" t="s">
        <v>70</v>
      </c>
      <c r="D13" s="236" t="s">
        <v>70</v>
      </c>
      <c r="E13" s="236" t="s">
        <v>71</v>
      </c>
      <c r="F13" s="236" t="s">
        <v>72</v>
      </c>
      <c r="G13" s="236" t="s">
        <v>73</v>
      </c>
      <c r="H13" s="236" t="s">
        <v>70</v>
      </c>
      <c r="I13" s="236" t="s">
        <v>70</v>
      </c>
      <c r="J13" s="236" t="s">
        <v>72</v>
      </c>
      <c r="K13" s="236" t="s">
        <v>72</v>
      </c>
      <c r="L13" s="236" t="s">
        <v>70</v>
      </c>
      <c r="M13" s="236" t="s">
        <v>70</v>
      </c>
      <c r="N13" s="236" t="s">
        <v>72</v>
      </c>
    </row>
    <row r="14" spans="1:14">
      <c r="A14" s="260" t="s">
        <v>66</v>
      </c>
      <c r="B14" s="236" t="s">
        <v>74</v>
      </c>
      <c r="C14" s="236" t="s">
        <v>74</v>
      </c>
      <c r="D14" s="236" t="s">
        <v>74</v>
      </c>
      <c r="E14" s="236" t="s">
        <v>75</v>
      </c>
      <c r="F14" s="236" t="s">
        <v>74</v>
      </c>
      <c r="G14" s="236" t="s">
        <v>74</v>
      </c>
      <c r="H14" s="236" t="s">
        <v>74</v>
      </c>
      <c r="I14" s="236" t="s">
        <v>74</v>
      </c>
      <c r="J14" s="236" t="s">
        <v>74</v>
      </c>
      <c r="K14" s="236" t="s">
        <v>76</v>
      </c>
      <c r="L14" s="236" t="s">
        <v>74</v>
      </c>
      <c r="M14" s="236" t="s">
        <v>74</v>
      </c>
      <c r="N14" s="236" t="s">
        <v>74</v>
      </c>
    </row>
    <row r="15" spans="1:14">
      <c r="A15" s="260" t="s">
        <v>66</v>
      </c>
      <c r="B15" s="236"/>
      <c r="C15" s="236"/>
      <c r="D15" s="236"/>
      <c r="E15" s="236" t="s">
        <v>77</v>
      </c>
      <c r="F15" s="236"/>
      <c r="G15" s="237" t="s">
        <v>78</v>
      </c>
      <c r="H15" s="236"/>
      <c r="I15" s="236"/>
      <c r="J15" s="236"/>
      <c r="K15" s="236"/>
      <c r="L15" s="236"/>
      <c r="M15" s="236"/>
      <c r="N15" s="236"/>
    </row>
    <row r="16" spans="1:14" s="263" customFormat="1" ht="15" customHeight="1">
      <c r="A16" s="262" t="s">
        <v>79</v>
      </c>
      <c r="B16" s="264" t="s">
        <v>80</v>
      </c>
      <c r="C16" s="264" t="s">
        <v>80</v>
      </c>
      <c r="D16" s="264" t="s">
        <v>80</v>
      </c>
      <c r="E16" s="264" t="s">
        <v>80</v>
      </c>
      <c r="F16" s="264" t="s">
        <v>80</v>
      </c>
      <c r="G16" s="264" t="s">
        <v>80</v>
      </c>
      <c r="H16" s="264" t="s">
        <v>80</v>
      </c>
      <c r="I16" s="264" t="s">
        <v>80</v>
      </c>
      <c r="J16" s="264" t="s">
        <v>80</v>
      </c>
      <c r="K16" s="264" t="s">
        <v>80</v>
      </c>
      <c r="L16" s="264" t="s">
        <v>80</v>
      </c>
      <c r="M16" s="264" t="s">
        <v>80</v>
      </c>
      <c r="N16" s="264" t="s">
        <v>80</v>
      </c>
    </row>
    <row r="17" spans="1:14">
      <c r="A17" s="93"/>
      <c r="B17" s="236"/>
      <c r="C17" s="236"/>
      <c r="D17" s="236"/>
      <c r="E17" s="236"/>
      <c r="F17" s="236"/>
      <c r="G17" s="237"/>
      <c r="H17" s="236"/>
      <c r="I17" s="236"/>
      <c r="J17" s="236"/>
      <c r="K17" s="236"/>
      <c r="L17" s="236"/>
      <c r="M17" s="236"/>
      <c r="N17" s="236"/>
    </row>
    <row r="18" spans="1:14">
      <c r="A18" s="93"/>
      <c r="B18" s="236"/>
      <c r="C18" s="236"/>
      <c r="D18" s="236"/>
      <c r="E18" s="236"/>
      <c r="F18" s="236"/>
      <c r="G18" s="236"/>
      <c r="H18" s="236"/>
      <c r="I18" s="236"/>
      <c r="J18" s="236"/>
      <c r="K18" s="236"/>
      <c r="L18" s="236"/>
      <c r="M18" s="236"/>
      <c r="N18" s="236"/>
    </row>
    <row r="19" spans="1:14" s="7" customFormat="1" ht="30.75" thickBot="1">
      <c r="A19" s="94" t="s">
        <v>81</v>
      </c>
      <c r="B19" s="128" t="s">
        <v>82</v>
      </c>
      <c r="C19" s="128" t="s">
        <v>82</v>
      </c>
      <c r="D19" s="128" t="s">
        <v>82</v>
      </c>
      <c r="E19" s="128" t="s">
        <v>82</v>
      </c>
      <c r="F19" s="128" t="s">
        <v>82</v>
      </c>
      <c r="G19" s="128" t="s">
        <v>82</v>
      </c>
      <c r="H19" s="128" t="s">
        <v>82</v>
      </c>
      <c r="I19" s="128" t="s">
        <v>82</v>
      </c>
      <c r="J19" s="128" t="s">
        <v>82</v>
      </c>
      <c r="K19" s="128" t="s">
        <v>82</v>
      </c>
      <c r="L19" s="128" t="s">
        <v>82</v>
      </c>
      <c r="M19" s="128" t="s">
        <v>82</v>
      </c>
      <c r="N19" s="128" t="s">
        <v>82</v>
      </c>
    </row>
    <row r="20" spans="1:14" s="4" customFormat="1">
      <c r="A20" s="40"/>
      <c r="B20" s="41" t="s">
        <v>83</v>
      </c>
      <c r="C20" s="41" t="s">
        <v>83</v>
      </c>
      <c r="D20" s="41" t="s">
        <v>83</v>
      </c>
      <c r="E20" s="41" t="s">
        <v>83</v>
      </c>
      <c r="F20" s="41" t="s">
        <v>83</v>
      </c>
      <c r="G20" s="41" t="s">
        <v>83</v>
      </c>
      <c r="H20" s="41" t="s">
        <v>83</v>
      </c>
      <c r="I20" s="41" t="s">
        <v>83</v>
      </c>
      <c r="J20" s="41" t="s">
        <v>83</v>
      </c>
      <c r="K20" s="41" t="s">
        <v>83</v>
      </c>
      <c r="L20" s="41" t="s">
        <v>83</v>
      </c>
      <c r="M20" s="41" t="s">
        <v>83</v>
      </c>
      <c r="N20" s="41" t="s">
        <v>83</v>
      </c>
    </row>
    <row r="21" spans="1:14" s="4" customFormat="1" ht="60">
      <c r="A21" s="5" t="s">
        <v>84</v>
      </c>
      <c r="B21" s="126" t="s">
        <v>85</v>
      </c>
      <c r="C21" s="126" t="s">
        <v>85</v>
      </c>
      <c r="D21" s="126" t="s">
        <v>85</v>
      </c>
      <c r="E21" s="126" t="s">
        <v>85</v>
      </c>
      <c r="F21" s="126" t="s">
        <v>85</v>
      </c>
      <c r="G21" s="126" t="s">
        <v>85</v>
      </c>
      <c r="H21" s="126" t="s">
        <v>86</v>
      </c>
      <c r="I21" s="126" t="s">
        <v>87</v>
      </c>
      <c r="J21" s="126" t="s">
        <v>85</v>
      </c>
      <c r="K21" s="126" t="s">
        <v>85</v>
      </c>
      <c r="L21" s="126" t="s">
        <v>86</v>
      </c>
      <c r="M21" s="126" t="s">
        <v>85</v>
      </c>
      <c r="N21" s="126" t="s">
        <v>85</v>
      </c>
    </row>
    <row r="22" spans="1:14" s="2" customFormat="1" ht="66.75" customHeight="1">
      <c r="B22" s="60" t="s">
        <v>88</v>
      </c>
      <c r="C22" s="60" t="s">
        <v>88</v>
      </c>
      <c r="D22" s="60" t="s">
        <v>88</v>
      </c>
      <c r="E22" s="60" t="s">
        <v>88</v>
      </c>
      <c r="F22" s="60" t="s">
        <v>88</v>
      </c>
      <c r="G22" s="60" t="s">
        <v>88</v>
      </c>
      <c r="H22" s="60" t="s">
        <v>89</v>
      </c>
      <c r="I22" s="60" t="s">
        <v>89</v>
      </c>
      <c r="J22" s="60" t="s">
        <v>88</v>
      </c>
      <c r="K22" s="60" t="s">
        <v>88</v>
      </c>
      <c r="L22" s="60" t="s">
        <v>89</v>
      </c>
      <c r="M22" s="60" t="s">
        <v>88</v>
      </c>
      <c r="N22" s="60" t="s">
        <v>88</v>
      </c>
    </row>
    <row r="23" spans="1:14" s="2" customFormat="1" ht="129" customHeight="1">
      <c r="A23" s="6"/>
      <c r="B23" s="60" t="s">
        <v>90</v>
      </c>
      <c r="C23" s="60" t="s">
        <v>91</v>
      </c>
      <c r="D23" s="60" t="s">
        <v>92</v>
      </c>
      <c r="E23" s="60" t="s">
        <v>93</v>
      </c>
      <c r="F23" s="60" t="s">
        <v>94</v>
      </c>
      <c r="G23" s="60" t="s">
        <v>95</v>
      </c>
      <c r="H23" s="60" t="s">
        <v>96</v>
      </c>
      <c r="I23" s="19" t="s">
        <v>97</v>
      </c>
      <c r="J23" s="60" t="s">
        <v>92</v>
      </c>
      <c r="K23" s="60" t="s">
        <v>98</v>
      </c>
      <c r="L23" s="60" t="s">
        <v>99</v>
      </c>
      <c r="M23" s="19" t="s">
        <v>91</v>
      </c>
      <c r="N23" s="60" t="s">
        <v>94</v>
      </c>
    </row>
    <row r="24" spans="1:14" s="2" customFormat="1" ht="120">
      <c r="A24" s="6"/>
      <c r="B24" s="60" t="s">
        <v>100</v>
      </c>
      <c r="C24" s="60" t="s">
        <v>101</v>
      </c>
      <c r="D24" s="60" t="s">
        <v>102</v>
      </c>
      <c r="E24" s="60" t="s">
        <v>103</v>
      </c>
      <c r="F24" s="60" t="s">
        <v>104</v>
      </c>
      <c r="G24" s="3" t="s">
        <v>105</v>
      </c>
      <c r="H24" s="60" t="s">
        <v>106</v>
      </c>
      <c r="I24" s="60" t="s">
        <v>107</v>
      </c>
      <c r="J24" s="60" t="s">
        <v>108</v>
      </c>
      <c r="K24" s="60" t="s">
        <v>109</v>
      </c>
      <c r="L24" s="60" t="s">
        <v>110</v>
      </c>
      <c r="M24" s="19" t="s">
        <v>111</v>
      </c>
      <c r="N24" s="60" t="s">
        <v>102</v>
      </c>
    </row>
    <row r="25" spans="1:14" s="2" customFormat="1" ht="285">
      <c r="A25" s="6"/>
      <c r="B25" s="60" t="s">
        <v>112</v>
      </c>
      <c r="C25" s="60" t="s">
        <v>113</v>
      </c>
      <c r="D25" s="60" t="s">
        <v>114</v>
      </c>
      <c r="E25" s="60" t="s">
        <v>115</v>
      </c>
      <c r="F25" s="60" t="s">
        <v>116</v>
      </c>
      <c r="G25" s="60" t="s">
        <v>117</v>
      </c>
      <c r="H25" s="60" t="s">
        <v>118</v>
      </c>
      <c r="I25" s="19" t="s">
        <v>119</v>
      </c>
      <c r="J25" s="60" t="s">
        <v>120</v>
      </c>
      <c r="K25" s="60" t="s">
        <v>121</v>
      </c>
      <c r="L25" s="60" t="s">
        <v>122</v>
      </c>
      <c r="M25" s="60" t="s">
        <v>113</v>
      </c>
      <c r="N25" s="60" t="s">
        <v>123</v>
      </c>
    </row>
    <row r="26" spans="1:14" s="2" customFormat="1" ht="360">
      <c r="A26" s="6"/>
      <c r="B26" s="60" t="s">
        <v>124</v>
      </c>
      <c r="C26" s="60" t="s">
        <v>125</v>
      </c>
      <c r="D26" s="30"/>
      <c r="E26" s="30"/>
      <c r="F26" s="30"/>
      <c r="G26" s="60" t="s">
        <v>126</v>
      </c>
      <c r="H26" s="30"/>
      <c r="I26" s="30"/>
      <c r="J26" s="30"/>
      <c r="K26" s="60" t="s">
        <v>127</v>
      </c>
      <c r="L26" s="60" t="s">
        <v>128</v>
      </c>
      <c r="M26" s="60" t="s">
        <v>129</v>
      </c>
      <c r="N26" s="30"/>
    </row>
    <row r="27" spans="1:14" s="2" customFormat="1">
      <c r="A27" s="47"/>
      <c r="B27" s="30"/>
      <c r="C27" s="30"/>
      <c r="E27" s="80"/>
      <c r="F27" s="80"/>
      <c r="G27" s="30"/>
      <c r="I27" s="80"/>
      <c r="J27" s="80"/>
      <c r="K27" s="30"/>
      <c r="L27" s="30"/>
      <c r="M27" s="30"/>
    </row>
    <row r="28" spans="1:14">
      <c r="A28" s="13" t="s">
        <v>130</v>
      </c>
      <c r="B28" s="80"/>
      <c r="C28" s="80"/>
      <c r="D28" s="80"/>
      <c r="E28" s="80"/>
      <c r="F28" s="80"/>
      <c r="G28" s="80"/>
      <c r="H28" s="80"/>
      <c r="I28" s="80"/>
      <c r="J28" s="80"/>
      <c r="K28" s="80"/>
      <c r="L28" s="80"/>
      <c r="M28" s="80"/>
      <c r="N28" s="80"/>
    </row>
    <row r="29" spans="1:14">
      <c r="A29" s="13"/>
      <c r="B29" s="104" t="s">
        <v>131</v>
      </c>
      <c r="C29" s="104" t="s">
        <v>131</v>
      </c>
      <c r="D29" s="104" t="s">
        <v>131</v>
      </c>
      <c r="E29" s="104" t="s">
        <v>131</v>
      </c>
      <c r="F29" s="104" t="s">
        <v>131</v>
      </c>
      <c r="G29" s="104" t="s">
        <v>131</v>
      </c>
      <c r="H29" s="104" t="s">
        <v>131</v>
      </c>
      <c r="I29" s="104" t="s">
        <v>131</v>
      </c>
      <c r="J29" s="104" t="s">
        <v>131</v>
      </c>
      <c r="K29" s="104" t="s">
        <v>131</v>
      </c>
      <c r="L29" s="104" t="s">
        <v>131</v>
      </c>
      <c r="M29" s="104" t="s">
        <v>131</v>
      </c>
      <c r="N29" s="104" t="s">
        <v>131</v>
      </c>
    </row>
    <row r="30" spans="1:14" s="16" customFormat="1">
      <c r="A30" s="15"/>
      <c r="B30" s="104" t="s">
        <v>132</v>
      </c>
      <c r="C30" s="104" t="s">
        <v>132</v>
      </c>
      <c r="D30" s="104" t="s">
        <v>132</v>
      </c>
      <c r="E30" s="104" t="s">
        <v>132</v>
      </c>
      <c r="F30" s="104" t="s">
        <v>132</v>
      </c>
      <c r="G30" s="104" t="s">
        <v>132</v>
      </c>
      <c r="H30" s="104" t="s">
        <v>132</v>
      </c>
      <c r="I30" s="104" t="s">
        <v>132</v>
      </c>
      <c r="J30" s="104" t="s">
        <v>132</v>
      </c>
      <c r="K30" s="104" t="s">
        <v>132</v>
      </c>
      <c r="L30" s="104" t="s">
        <v>132</v>
      </c>
      <c r="M30" s="104" t="s">
        <v>132</v>
      </c>
      <c r="N30" s="104" t="s">
        <v>132</v>
      </c>
    </row>
    <row r="31" spans="1:14" s="16" customFormat="1">
      <c r="A31" s="15"/>
      <c r="B31" s="104" t="s">
        <v>133</v>
      </c>
      <c r="C31" s="104" t="s">
        <v>133</v>
      </c>
      <c r="D31" s="104" t="s">
        <v>133</v>
      </c>
      <c r="E31" s="104" t="s">
        <v>133</v>
      </c>
      <c r="F31" s="104" t="s">
        <v>133</v>
      </c>
      <c r="G31" s="104" t="s">
        <v>133</v>
      </c>
      <c r="H31" s="104" t="s">
        <v>133</v>
      </c>
      <c r="I31" s="104" t="s">
        <v>133</v>
      </c>
      <c r="J31" s="104" t="s">
        <v>133</v>
      </c>
      <c r="K31" s="104" t="s">
        <v>133</v>
      </c>
      <c r="L31" s="104" t="s">
        <v>133</v>
      </c>
      <c r="M31" s="104" t="s">
        <v>133</v>
      </c>
      <c r="N31" s="104" t="s">
        <v>133</v>
      </c>
    </row>
    <row r="32" spans="1:14" s="12" customFormat="1">
      <c r="A32" s="13"/>
      <c r="B32" s="12" t="s">
        <v>134</v>
      </c>
      <c r="C32" s="12" t="s">
        <v>134</v>
      </c>
      <c r="D32" s="12" t="s">
        <v>134</v>
      </c>
      <c r="E32" s="12" t="s">
        <v>134</v>
      </c>
      <c r="F32" s="12" t="s">
        <v>134</v>
      </c>
      <c r="G32" s="12" t="s">
        <v>134</v>
      </c>
      <c r="H32" s="12" t="s">
        <v>134</v>
      </c>
      <c r="I32" s="12" t="s">
        <v>134</v>
      </c>
      <c r="J32" s="12" t="s">
        <v>134</v>
      </c>
      <c r="K32" s="12" t="s">
        <v>134</v>
      </c>
      <c r="L32" s="12" t="s">
        <v>134</v>
      </c>
      <c r="M32" s="12" t="s">
        <v>134</v>
      </c>
      <c r="N32" s="12" t="s">
        <v>134</v>
      </c>
    </row>
    <row r="33" spans="1:14" s="12" customFormat="1">
      <c r="A33" s="13"/>
      <c r="B33" s="12" t="s">
        <v>135</v>
      </c>
      <c r="C33" s="12" t="s">
        <v>135</v>
      </c>
      <c r="D33" s="12" t="s">
        <v>135</v>
      </c>
      <c r="E33" s="12" t="s">
        <v>135</v>
      </c>
      <c r="F33" s="12" t="s">
        <v>136</v>
      </c>
      <c r="G33" s="12" t="s">
        <v>135</v>
      </c>
      <c r="H33" s="12" t="s">
        <v>135</v>
      </c>
      <c r="I33" s="12" t="s">
        <v>135</v>
      </c>
      <c r="J33" s="12" t="s">
        <v>136</v>
      </c>
      <c r="K33" s="12" t="s">
        <v>135</v>
      </c>
      <c r="L33" s="12" t="s">
        <v>135</v>
      </c>
      <c r="M33" s="12" t="s">
        <v>135</v>
      </c>
      <c r="N33" s="12" t="s">
        <v>135</v>
      </c>
    </row>
    <row r="34" spans="1:14" s="12" customFormat="1">
      <c r="A34" s="13"/>
      <c r="B34" s="12" t="s">
        <v>137</v>
      </c>
      <c r="C34" s="12" t="s">
        <v>137</v>
      </c>
      <c r="D34" s="12" t="s">
        <v>137</v>
      </c>
      <c r="E34" s="12" t="s">
        <v>138</v>
      </c>
      <c r="F34" s="12" t="s">
        <v>137</v>
      </c>
      <c r="G34" s="12" t="s">
        <v>139</v>
      </c>
      <c r="H34" s="12" t="s">
        <v>139</v>
      </c>
      <c r="I34" s="12" t="s">
        <v>137</v>
      </c>
      <c r="J34" s="12" t="s">
        <v>139</v>
      </c>
      <c r="K34" s="12" t="s">
        <v>140</v>
      </c>
      <c r="L34" s="12" t="s">
        <v>137</v>
      </c>
      <c r="M34" s="12" t="s">
        <v>137</v>
      </c>
      <c r="N34" s="12" t="s">
        <v>137</v>
      </c>
    </row>
    <row r="35" spans="1:14" s="12" customFormat="1">
      <c r="A35" s="13"/>
      <c r="B35" s="12" t="s">
        <v>141</v>
      </c>
      <c r="C35" s="12" t="s">
        <v>141</v>
      </c>
      <c r="D35" s="12" t="s">
        <v>141</v>
      </c>
      <c r="E35" s="12" t="s">
        <v>140</v>
      </c>
      <c r="F35" s="12" t="s">
        <v>141</v>
      </c>
      <c r="G35" s="12" t="s">
        <v>141</v>
      </c>
      <c r="H35" s="12" t="s">
        <v>141</v>
      </c>
      <c r="I35" s="12" t="s">
        <v>141</v>
      </c>
      <c r="J35" s="12" t="s">
        <v>141</v>
      </c>
      <c r="K35" s="12" t="s">
        <v>43</v>
      </c>
      <c r="L35" s="12" t="s">
        <v>141</v>
      </c>
      <c r="M35" s="12" t="s">
        <v>141</v>
      </c>
      <c r="N35" s="12" t="s">
        <v>141</v>
      </c>
    </row>
    <row r="36" spans="1:14" s="12" customFormat="1">
      <c r="A36" s="13"/>
      <c r="B36" s="12" t="s">
        <v>142</v>
      </c>
      <c r="C36" s="12" t="s">
        <v>142</v>
      </c>
      <c r="D36" s="12" t="s">
        <v>142</v>
      </c>
      <c r="E36" s="12" t="s">
        <v>142</v>
      </c>
      <c r="F36" s="12" t="s">
        <v>142</v>
      </c>
      <c r="G36" s="12" t="s">
        <v>142</v>
      </c>
      <c r="H36" s="12" t="s">
        <v>142</v>
      </c>
      <c r="I36" s="12" t="s">
        <v>142</v>
      </c>
      <c r="J36" s="12" t="s">
        <v>142</v>
      </c>
      <c r="K36" s="12" t="s">
        <v>141</v>
      </c>
      <c r="L36" s="12" t="s">
        <v>142</v>
      </c>
      <c r="M36" s="12" t="s">
        <v>142</v>
      </c>
      <c r="N36" s="12" t="s">
        <v>142</v>
      </c>
    </row>
    <row r="37" spans="1:14" s="12" customFormat="1">
      <c r="A37" s="13"/>
      <c r="B37" s="12" t="s">
        <v>143</v>
      </c>
      <c r="C37" s="12" t="s">
        <v>143</v>
      </c>
      <c r="D37" s="12" t="s">
        <v>143</v>
      </c>
      <c r="E37" s="12" t="s">
        <v>141</v>
      </c>
      <c r="F37" s="12" t="s">
        <v>144</v>
      </c>
      <c r="G37" s="12" t="s">
        <v>143</v>
      </c>
      <c r="H37" s="12" t="s">
        <v>143</v>
      </c>
      <c r="I37" s="12" t="s">
        <v>143</v>
      </c>
      <c r="J37" s="12" t="s">
        <v>144</v>
      </c>
      <c r="K37" s="12" t="s">
        <v>142</v>
      </c>
      <c r="L37" s="12" t="s">
        <v>143</v>
      </c>
      <c r="M37" s="12" t="s">
        <v>143</v>
      </c>
      <c r="N37" s="12" t="s">
        <v>143</v>
      </c>
    </row>
    <row r="38" spans="1:14" s="12" customFormat="1">
      <c r="A38" s="13"/>
      <c r="B38" s="12" t="s">
        <v>144</v>
      </c>
      <c r="C38" s="12" t="s">
        <v>144</v>
      </c>
      <c r="D38" s="12" t="s">
        <v>144</v>
      </c>
      <c r="E38" s="12" t="s">
        <v>143</v>
      </c>
      <c r="F38" s="12" t="s">
        <v>145</v>
      </c>
      <c r="G38" s="12" t="s">
        <v>144</v>
      </c>
      <c r="H38" s="12" t="s">
        <v>144</v>
      </c>
      <c r="I38" s="12" t="s">
        <v>144</v>
      </c>
      <c r="J38" s="12" t="s">
        <v>145</v>
      </c>
      <c r="K38" s="12" t="s">
        <v>143</v>
      </c>
      <c r="L38" s="12" t="s">
        <v>144</v>
      </c>
      <c r="M38" s="12" t="s">
        <v>144</v>
      </c>
      <c r="N38" s="12" t="s">
        <v>144</v>
      </c>
    </row>
    <row r="39" spans="1:14" s="12" customFormat="1">
      <c r="A39" s="13"/>
      <c r="B39" s="12" t="s">
        <v>146</v>
      </c>
      <c r="C39" s="12" t="s">
        <v>146</v>
      </c>
      <c r="D39" s="12" t="s">
        <v>145</v>
      </c>
      <c r="E39" s="12" t="s">
        <v>144</v>
      </c>
      <c r="F39" s="12" t="s">
        <v>147</v>
      </c>
      <c r="G39" s="12" t="s">
        <v>146</v>
      </c>
      <c r="H39" s="12" t="s">
        <v>145</v>
      </c>
      <c r="I39" s="12" t="s">
        <v>145</v>
      </c>
      <c r="J39" s="12" t="s">
        <v>147</v>
      </c>
      <c r="K39" s="12" t="s">
        <v>144</v>
      </c>
      <c r="L39" s="12" t="s">
        <v>146</v>
      </c>
      <c r="M39" s="12" t="s">
        <v>146</v>
      </c>
      <c r="N39" s="12" t="s">
        <v>145</v>
      </c>
    </row>
    <row r="40" spans="1:14">
      <c r="A40" s="13"/>
      <c r="B40" s="12" t="s">
        <v>145</v>
      </c>
      <c r="C40" s="12" t="s">
        <v>145</v>
      </c>
      <c r="D40" s="12" t="s">
        <v>147</v>
      </c>
      <c r="E40" s="12" t="s">
        <v>145</v>
      </c>
      <c r="F40" s="12"/>
      <c r="G40" s="12" t="s">
        <v>145</v>
      </c>
      <c r="H40" s="12" t="s">
        <v>147</v>
      </c>
      <c r="I40" s="12" t="s">
        <v>147</v>
      </c>
      <c r="J40" s="12"/>
      <c r="K40" s="12" t="s">
        <v>146</v>
      </c>
      <c r="L40" s="12" t="s">
        <v>145</v>
      </c>
      <c r="M40" s="12" t="s">
        <v>145</v>
      </c>
      <c r="N40" s="12" t="s">
        <v>147</v>
      </c>
    </row>
    <row r="41" spans="1:14">
      <c r="A41" s="13"/>
      <c r="B41" s="12" t="s">
        <v>148</v>
      </c>
      <c r="C41" s="12" t="s">
        <v>148</v>
      </c>
      <c r="D41" s="12"/>
      <c r="E41" s="12" t="s">
        <v>147</v>
      </c>
      <c r="F41" s="12"/>
      <c r="G41" s="12" t="s">
        <v>147</v>
      </c>
      <c r="H41" s="12"/>
      <c r="I41" s="12"/>
      <c r="J41" s="12"/>
      <c r="K41" s="12" t="s">
        <v>145</v>
      </c>
      <c r="L41" s="12" t="s">
        <v>148</v>
      </c>
      <c r="M41" s="12" t="s">
        <v>148</v>
      </c>
      <c r="N41" s="12"/>
    </row>
    <row r="42" spans="1:14" s="12" customFormat="1">
      <c r="B42" s="12" t="s">
        <v>147</v>
      </c>
      <c r="C42" s="12" t="s">
        <v>147</v>
      </c>
      <c r="I42" s="183" t="s">
        <v>149</v>
      </c>
      <c r="J42" s="183" t="s">
        <v>149</v>
      </c>
      <c r="K42" s="12" t="s">
        <v>147</v>
      </c>
      <c r="L42" s="12" t="s">
        <v>147</v>
      </c>
      <c r="M42" s="12" t="s">
        <v>147</v>
      </c>
    </row>
    <row r="43" spans="1:14" s="12" customFormat="1">
      <c r="A43" s="13"/>
      <c r="D43" s="183" t="s">
        <v>149</v>
      </c>
      <c r="E43" s="183" t="s">
        <v>149</v>
      </c>
      <c r="F43" s="183" t="s">
        <v>149</v>
      </c>
      <c r="G43" s="183" t="s">
        <v>149</v>
      </c>
      <c r="H43" s="183" t="s">
        <v>149</v>
      </c>
      <c r="N43" s="183" t="s">
        <v>149</v>
      </c>
    </row>
    <row r="44" spans="1:14" s="12" customFormat="1">
      <c r="A44" s="13"/>
      <c r="C44" s="183" t="s">
        <v>149</v>
      </c>
      <c r="K44" s="183" t="s">
        <v>149</v>
      </c>
      <c r="L44" s="183" t="s">
        <v>149</v>
      </c>
      <c r="M44" s="183" t="s">
        <v>149</v>
      </c>
    </row>
    <row r="45" spans="1:14" s="12" customFormat="1">
      <c r="A45" s="13"/>
      <c r="B45" s="183" t="s">
        <v>149</v>
      </c>
    </row>
    <row r="46" spans="1:14" s="12" customFormat="1">
      <c r="A46" s="13"/>
      <c r="C46" s="1"/>
      <c r="M46" s="1"/>
    </row>
    <row r="47" spans="1:14" s="12" customFormat="1">
      <c r="A47" s="13"/>
      <c r="C47" s="1"/>
      <c r="M47" s="1"/>
    </row>
    <row r="48" spans="1:14" s="12" customFormat="1">
      <c r="A48" s="13"/>
      <c r="B48" s="1"/>
      <c r="C48" s="1"/>
      <c r="M48" s="1"/>
    </row>
    <row r="49" spans="1:14" s="12" customFormat="1">
      <c r="A49" s="13"/>
      <c r="C49" s="1"/>
      <c r="D49" s="1"/>
      <c r="K49" s="1"/>
      <c r="M49" s="1"/>
      <c r="N49" s="1"/>
    </row>
    <row r="50" spans="1:14" s="12" customFormat="1">
      <c r="A50" s="13"/>
      <c r="B50" s="1"/>
      <c r="C50" s="1"/>
      <c r="D50" s="1"/>
      <c r="K50" s="1"/>
      <c r="L50" s="1"/>
      <c r="M50" s="1"/>
      <c r="N50" s="1"/>
    </row>
    <row r="51" spans="1:14" s="12" customFormat="1">
      <c r="A51" s="13"/>
      <c r="B51" s="1"/>
      <c r="C51" s="1"/>
      <c r="D51" s="1"/>
      <c r="F51" s="1"/>
      <c r="G51" s="1"/>
      <c r="H51" s="1"/>
      <c r="I51" s="1"/>
      <c r="J51" s="1"/>
      <c r="K51" s="1"/>
      <c r="L51" s="1"/>
      <c r="M51" s="1"/>
      <c r="N51" s="1"/>
    </row>
    <row r="52" spans="1:14" s="12" customFormat="1">
      <c r="A52" s="13"/>
      <c r="B52" s="1"/>
      <c r="C52" s="1"/>
      <c r="D52" s="1"/>
      <c r="E52" s="1"/>
      <c r="F52" s="1"/>
      <c r="G52" s="1"/>
      <c r="H52" s="1"/>
      <c r="I52" s="1"/>
      <c r="J52" s="1"/>
      <c r="K52" s="1"/>
      <c r="L52" s="1"/>
      <c r="M52" s="1"/>
      <c r="N52" s="1"/>
    </row>
  </sheetData>
  <pageMargins left="0.7" right="0.7" top="0.75" bottom="0.75" header="0.3" footer="0.3"/>
  <pageSetup paperSize="8" scale="44" fitToWidth="0" orientation="landscape" verticalDpi="598"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pageSetUpPr fitToPage="1"/>
  </sheetPr>
  <dimension ref="A1:AP48"/>
  <sheetViews>
    <sheetView topLeftCell="AL1" zoomScaleNormal="100" workbookViewId="0">
      <pane xSplit="33465" topLeftCell="F1" activePane="topRight"/>
      <selection pane="topRight" activeCell="O11" sqref="O11"/>
      <selection activeCell="AP2" sqref="AP2"/>
    </sheetView>
  </sheetViews>
  <sheetFormatPr defaultColWidth="9" defaultRowHeight="15"/>
  <cols>
    <col min="1" max="1" width="17.125" style="4" bestFit="1" customWidth="1"/>
    <col min="2" max="2" width="37.375" style="1" customWidth="1"/>
    <col min="3" max="3" width="36.5" style="1" customWidth="1"/>
    <col min="4" max="4" width="45.5" style="1" customWidth="1"/>
    <col min="5" max="5" width="43.125" style="1" customWidth="1"/>
    <col min="6" max="8" width="36.5" style="1" customWidth="1"/>
    <col min="9" max="9" width="44.25" style="1" customWidth="1"/>
    <col min="10" max="10" width="46" customWidth="1"/>
    <col min="11" max="12" width="38" customWidth="1"/>
    <col min="13" max="13" width="35" customWidth="1"/>
    <col min="14" max="14" width="33.375" style="155" customWidth="1"/>
    <col min="15" max="15" width="36.375" customWidth="1"/>
    <col min="16" max="16" width="39.75" customWidth="1"/>
    <col min="17" max="17" width="36.5" style="1" customWidth="1"/>
    <col min="18" max="18" width="37.375" style="1" customWidth="1"/>
    <col min="19" max="19" width="50" style="1" customWidth="1"/>
    <col min="20" max="24" width="44.25" style="1" customWidth="1"/>
    <col min="25" max="25" width="50" style="1" customWidth="1"/>
    <col min="26" max="30" width="36.5" style="1" customWidth="1"/>
    <col min="31" max="31" width="38" customWidth="1"/>
    <col min="32" max="32" width="33.375" customWidth="1"/>
    <col min="33" max="34" width="47.875" customWidth="1"/>
    <col min="35" max="35" width="39.75" customWidth="1"/>
    <col min="36" max="36" width="36.5" style="1" customWidth="1"/>
    <col min="37" max="38" width="37.875" customWidth="1"/>
    <col min="39" max="39" width="41.75" customWidth="1"/>
    <col min="40" max="40" width="43.625" customWidth="1"/>
    <col min="41" max="41" width="43.125" style="199" customWidth="1"/>
    <col min="42" max="42" width="47.875" style="155" customWidth="1"/>
  </cols>
  <sheetData>
    <row r="1" spans="1:42">
      <c r="A1" s="8"/>
      <c r="B1" s="117" t="s">
        <v>150</v>
      </c>
      <c r="C1" s="117" t="s">
        <v>151</v>
      </c>
      <c r="D1" s="117" t="s">
        <v>152</v>
      </c>
      <c r="E1" s="117" t="s">
        <v>153</v>
      </c>
      <c r="F1" s="117" t="s">
        <v>154</v>
      </c>
      <c r="G1" s="117" t="s">
        <v>155</v>
      </c>
      <c r="H1" s="117" t="s">
        <v>156</v>
      </c>
      <c r="I1" s="265" t="s">
        <v>157</v>
      </c>
      <c r="J1" s="265" t="s">
        <v>158</v>
      </c>
      <c r="K1" s="117" t="s">
        <v>159</v>
      </c>
      <c r="L1" s="117"/>
      <c r="M1" s="117" t="s">
        <v>160</v>
      </c>
      <c r="N1" s="53" t="s">
        <v>161</v>
      </c>
      <c r="O1" s="117" t="s">
        <v>162</v>
      </c>
      <c r="P1" s="117" t="s">
        <v>163</v>
      </c>
      <c r="Q1" s="117"/>
      <c r="R1" s="117" t="s">
        <v>164</v>
      </c>
      <c r="S1" s="53" t="s">
        <v>165</v>
      </c>
      <c r="T1" s="117" t="s">
        <v>166</v>
      </c>
      <c r="U1" s="117" t="s">
        <v>167</v>
      </c>
      <c r="V1" s="117" t="s">
        <v>168</v>
      </c>
      <c r="W1" s="117" t="s">
        <v>169</v>
      </c>
      <c r="X1" s="265" t="s">
        <v>170</v>
      </c>
      <c r="Y1" s="53" t="s">
        <v>171</v>
      </c>
      <c r="Z1" s="117" t="s">
        <v>172</v>
      </c>
      <c r="AA1" s="117" t="s">
        <v>173</v>
      </c>
      <c r="AB1" s="59" t="s">
        <v>174</v>
      </c>
      <c r="AC1" s="59"/>
      <c r="AD1" s="59" t="s">
        <v>175</v>
      </c>
      <c r="AE1" s="265" t="s">
        <v>176</v>
      </c>
      <c r="AF1" s="265" t="s">
        <v>177</v>
      </c>
      <c r="AG1" s="117" t="s">
        <v>178</v>
      </c>
      <c r="AH1" s="117" t="s">
        <v>179</v>
      </c>
      <c r="AI1" s="265" t="s">
        <v>180</v>
      </c>
      <c r="AJ1" s="117" t="s">
        <v>181</v>
      </c>
      <c r="AK1" s="117" t="s">
        <v>182</v>
      </c>
      <c r="AL1" s="117" t="s">
        <v>183</v>
      </c>
      <c r="AM1" s="117" t="s">
        <v>184</v>
      </c>
      <c r="AN1" s="117" t="s">
        <v>185</v>
      </c>
      <c r="AO1" s="187" t="s">
        <v>186</v>
      </c>
      <c r="AP1" s="145" t="s">
        <v>186</v>
      </c>
    </row>
    <row r="2" spans="1:42" ht="15.75">
      <c r="A2" s="9"/>
      <c r="B2" s="174" t="s">
        <v>187</v>
      </c>
      <c r="C2" s="174" t="s">
        <v>188</v>
      </c>
      <c r="D2" s="174" t="s">
        <v>189</v>
      </c>
      <c r="E2" s="174" t="s">
        <v>190</v>
      </c>
      <c r="F2" s="174" t="s">
        <v>191</v>
      </c>
      <c r="G2" s="174" t="s">
        <v>192</v>
      </c>
      <c r="H2" s="174" t="s">
        <v>193</v>
      </c>
      <c r="I2" s="266" t="s">
        <v>194</v>
      </c>
      <c r="J2" s="266" t="s">
        <v>195</v>
      </c>
      <c r="K2" s="174" t="s">
        <v>196</v>
      </c>
      <c r="L2" s="174" t="s">
        <v>197</v>
      </c>
      <c r="M2" s="174" t="s">
        <v>198</v>
      </c>
      <c r="N2" s="146" t="s">
        <v>199</v>
      </c>
      <c r="O2" s="174" t="s">
        <v>200</v>
      </c>
      <c r="P2" s="174" t="s">
        <v>201</v>
      </c>
      <c r="Q2" s="174" t="s">
        <v>202</v>
      </c>
      <c r="R2" s="174" t="s">
        <v>203</v>
      </c>
      <c r="S2" s="174" t="s">
        <v>204</v>
      </c>
      <c r="T2" s="174" t="s">
        <v>205</v>
      </c>
      <c r="U2" s="174" t="s">
        <v>206</v>
      </c>
      <c r="V2" s="174" t="s">
        <v>207</v>
      </c>
      <c r="W2" s="174" t="s">
        <v>208</v>
      </c>
      <c r="X2" s="266" t="s">
        <v>209</v>
      </c>
      <c r="Y2" s="76" t="s">
        <v>210</v>
      </c>
      <c r="Z2" s="174" t="s">
        <v>211</v>
      </c>
      <c r="AA2" s="174" t="s">
        <v>212</v>
      </c>
      <c r="AB2" s="174" t="s">
        <v>213</v>
      </c>
      <c r="AC2" s="174" t="s">
        <v>214</v>
      </c>
      <c r="AD2" s="182" t="s">
        <v>215</v>
      </c>
      <c r="AE2" s="266" t="s">
        <v>216</v>
      </c>
      <c r="AF2" s="266" t="s">
        <v>217</v>
      </c>
      <c r="AG2" s="174" t="s">
        <v>218</v>
      </c>
      <c r="AH2" s="174" t="s">
        <v>219</v>
      </c>
      <c r="AI2" s="266" t="s">
        <v>220</v>
      </c>
      <c r="AJ2" s="182" t="s">
        <v>221</v>
      </c>
      <c r="AK2" s="84" t="s">
        <v>222</v>
      </c>
      <c r="AL2" s="84" t="s">
        <v>223</v>
      </c>
      <c r="AM2" s="84" t="s">
        <v>224</v>
      </c>
      <c r="AN2" s="84" t="s">
        <v>225</v>
      </c>
      <c r="AO2" s="188" t="s">
        <v>226</v>
      </c>
      <c r="AP2" s="146" t="s">
        <v>227</v>
      </c>
    </row>
    <row r="3" spans="1:42" s="49" customFormat="1" ht="45">
      <c r="A3" s="20" t="s">
        <v>36</v>
      </c>
      <c r="B3" s="63" t="s">
        <v>228</v>
      </c>
      <c r="C3" s="63" t="s">
        <v>228</v>
      </c>
      <c r="D3" s="63" t="s">
        <v>229</v>
      </c>
      <c r="E3" s="63" t="s">
        <v>229</v>
      </c>
      <c r="F3" s="25" t="s">
        <v>228</v>
      </c>
      <c r="G3" s="25" t="s">
        <v>228</v>
      </c>
      <c r="H3" s="25" t="s">
        <v>40</v>
      </c>
      <c r="I3" s="63" t="s">
        <v>230</v>
      </c>
      <c r="J3" s="63" t="s">
        <v>231</v>
      </c>
      <c r="K3" s="63" t="s">
        <v>232</v>
      </c>
      <c r="L3" s="63" t="s">
        <v>232</v>
      </c>
      <c r="M3" s="64" t="s">
        <v>233</v>
      </c>
      <c r="N3" s="148" t="s">
        <v>232</v>
      </c>
      <c r="O3" s="51" t="s">
        <v>234</v>
      </c>
      <c r="P3" s="52" t="s">
        <v>234</v>
      </c>
      <c r="Q3" s="25" t="s">
        <v>228</v>
      </c>
      <c r="R3" s="25" t="s">
        <v>235</v>
      </c>
      <c r="S3" s="63" t="s">
        <v>236</v>
      </c>
      <c r="T3" s="63" t="s">
        <v>237</v>
      </c>
      <c r="U3" s="63" t="s">
        <v>237</v>
      </c>
      <c r="V3" s="63" t="s">
        <v>237</v>
      </c>
      <c r="W3" s="63" t="s">
        <v>40</v>
      </c>
      <c r="X3" s="64" t="s">
        <v>238</v>
      </c>
      <c r="Y3" s="64" t="s">
        <v>238</v>
      </c>
      <c r="Z3" s="63" t="s">
        <v>40</v>
      </c>
      <c r="AA3" s="25" t="s">
        <v>40</v>
      </c>
      <c r="AB3" s="25" t="s">
        <v>40</v>
      </c>
      <c r="AC3" s="25" t="s">
        <v>40</v>
      </c>
      <c r="AD3" s="25" t="s">
        <v>228</v>
      </c>
      <c r="AE3" s="25" t="s">
        <v>239</v>
      </c>
      <c r="AF3" s="25" t="s">
        <v>240</v>
      </c>
      <c r="AG3" s="64" t="s">
        <v>238</v>
      </c>
      <c r="AH3" s="64" t="s">
        <v>238</v>
      </c>
      <c r="AI3" s="52" t="s">
        <v>234</v>
      </c>
      <c r="AJ3" s="25" t="s">
        <v>40</v>
      </c>
      <c r="AK3" s="63" t="s">
        <v>237</v>
      </c>
      <c r="AL3" s="25" t="s">
        <v>235</v>
      </c>
      <c r="AM3" s="63" t="s">
        <v>237</v>
      </c>
      <c r="AN3" s="63" t="s">
        <v>237</v>
      </c>
      <c r="AO3" s="189" t="s">
        <v>229</v>
      </c>
      <c r="AP3" s="147" t="s">
        <v>238</v>
      </c>
    </row>
    <row r="4" spans="1:42" s="49" customFormat="1" ht="30">
      <c r="A4" s="20" t="s">
        <v>38</v>
      </c>
      <c r="B4" s="25" t="s">
        <v>241</v>
      </c>
      <c r="C4" s="25" t="s">
        <v>241</v>
      </c>
      <c r="D4" s="25" t="s">
        <v>241</v>
      </c>
      <c r="E4" s="25" t="s">
        <v>241</v>
      </c>
      <c r="F4" s="25" t="s">
        <v>241</v>
      </c>
      <c r="G4" s="25" t="s">
        <v>242</v>
      </c>
      <c r="H4" s="25" t="s">
        <v>241</v>
      </c>
      <c r="I4" s="25" t="s">
        <v>241</v>
      </c>
      <c r="J4" s="25" t="s">
        <v>241</v>
      </c>
      <c r="K4" s="25" t="s">
        <v>241</v>
      </c>
      <c r="L4" s="25" t="s">
        <v>241</v>
      </c>
      <c r="M4" s="50" t="s">
        <v>241</v>
      </c>
      <c r="N4" s="148" t="s">
        <v>241</v>
      </c>
      <c r="O4" s="51" t="s">
        <v>241</v>
      </c>
      <c r="P4" s="52" t="s">
        <v>241</v>
      </c>
      <c r="Q4" s="25" t="s">
        <v>241</v>
      </c>
      <c r="R4" s="25" t="s">
        <v>243</v>
      </c>
      <c r="S4" s="25" t="s">
        <v>241</v>
      </c>
      <c r="T4" s="50" t="s">
        <v>244</v>
      </c>
      <c r="U4" s="25" t="s">
        <v>245</v>
      </c>
      <c r="V4" s="25" t="s">
        <v>245</v>
      </c>
      <c r="W4" s="25" t="s">
        <v>246</v>
      </c>
      <c r="X4" s="25" t="s">
        <v>247</v>
      </c>
      <c r="Y4" s="25" t="s">
        <v>241</v>
      </c>
      <c r="Z4" s="25" t="s">
        <v>241</v>
      </c>
      <c r="AA4" s="25" t="s">
        <v>241</v>
      </c>
      <c r="AB4" s="25" t="s">
        <v>241</v>
      </c>
      <c r="AC4" s="25" t="s">
        <v>241</v>
      </c>
      <c r="AD4" s="25" t="s">
        <v>241</v>
      </c>
      <c r="AE4" s="25" t="s">
        <v>241</v>
      </c>
      <c r="AF4" s="25" t="s">
        <v>248</v>
      </c>
      <c r="AG4" s="25" t="s">
        <v>249</v>
      </c>
      <c r="AH4" s="50" t="s">
        <v>245</v>
      </c>
      <c r="AI4" s="52" t="s">
        <v>241</v>
      </c>
      <c r="AJ4" s="25" t="s">
        <v>241</v>
      </c>
      <c r="AK4" s="25" t="s">
        <v>245</v>
      </c>
      <c r="AL4" s="25" t="s">
        <v>243</v>
      </c>
      <c r="AM4" s="25" t="s">
        <v>245</v>
      </c>
      <c r="AN4" s="25" t="s">
        <v>249</v>
      </c>
      <c r="AO4" s="190" t="s">
        <v>241</v>
      </c>
      <c r="AP4" s="148" t="s">
        <v>249</v>
      </c>
    </row>
    <row r="5" spans="1:42" s="49" customFormat="1" ht="30">
      <c r="A5" s="20" t="s">
        <v>42</v>
      </c>
      <c r="B5" s="25" t="s">
        <v>250</v>
      </c>
      <c r="C5" s="25" t="s">
        <v>251</v>
      </c>
      <c r="D5" s="25" t="s">
        <v>250</v>
      </c>
      <c r="E5" s="25" t="s">
        <v>251</v>
      </c>
      <c r="F5" s="73" t="s">
        <v>252</v>
      </c>
      <c r="G5" s="25" t="s">
        <v>251</v>
      </c>
      <c r="H5" s="65" t="s">
        <v>251</v>
      </c>
      <c r="I5" s="25" t="s">
        <v>251</v>
      </c>
      <c r="J5" s="25" t="s">
        <v>251</v>
      </c>
      <c r="K5" s="25" t="s">
        <v>253</v>
      </c>
      <c r="L5" s="25"/>
      <c r="M5" s="25" t="s">
        <v>251</v>
      </c>
      <c r="N5" s="148" t="s">
        <v>248</v>
      </c>
      <c r="O5" s="51" t="s">
        <v>251</v>
      </c>
      <c r="P5" s="52" t="s">
        <v>254</v>
      </c>
      <c r="Q5" s="25" t="s">
        <v>255</v>
      </c>
      <c r="R5" s="25" t="s">
        <v>256</v>
      </c>
      <c r="S5" s="25" t="s">
        <v>256</v>
      </c>
      <c r="T5" s="25"/>
      <c r="U5" s="25" t="s">
        <v>257</v>
      </c>
      <c r="V5" s="25" t="s">
        <v>256</v>
      </c>
      <c r="W5" s="25" t="s">
        <v>256</v>
      </c>
      <c r="X5" s="50" t="s">
        <v>258</v>
      </c>
      <c r="Y5" s="25" t="s">
        <v>259</v>
      </c>
      <c r="Z5" s="25" t="s">
        <v>253</v>
      </c>
      <c r="AA5" s="50" t="s">
        <v>260</v>
      </c>
      <c r="AB5" s="50" t="s">
        <v>261</v>
      </c>
      <c r="AC5" s="50" t="s">
        <v>261</v>
      </c>
      <c r="AD5" s="50" t="s">
        <v>262</v>
      </c>
      <c r="AE5" s="25" t="s">
        <v>251</v>
      </c>
      <c r="AF5" s="25" t="s">
        <v>251</v>
      </c>
      <c r="AG5" s="50" t="s">
        <v>258</v>
      </c>
      <c r="AH5" s="25" t="s">
        <v>263</v>
      </c>
      <c r="AI5" s="52" t="s">
        <v>264</v>
      </c>
      <c r="AJ5" s="50" t="s">
        <v>260</v>
      </c>
      <c r="AK5" s="25" t="s">
        <v>256</v>
      </c>
      <c r="AL5" s="25" t="s">
        <v>257</v>
      </c>
      <c r="AM5" s="25" t="s">
        <v>256</v>
      </c>
      <c r="AN5" s="50" t="s">
        <v>258</v>
      </c>
      <c r="AO5" s="190" t="s">
        <v>251</v>
      </c>
      <c r="AP5" s="149" t="s">
        <v>258</v>
      </c>
    </row>
    <row r="6" spans="1:42" s="49" customFormat="1" ht="15.75" thickBot="1">
      <c r="A6" s="20" t="s">
        <v>48</v>
      </c>
      <c r="B6" s="66"/>
      <c r="C6" s="65"/>
      <c r="D6" s="66"/>
      <c r="E6" s="66"/>
      <c r="F6" s="66" t="s">
        <v>251</v>
      </c>
      <c r="G6" s="66"/>
      <c r="H6" s="65"/>
      <c r="I6" s="66"/>
      <c r="J6" s="66"/>
      <c r="K6" s="66"/>
      <c r="L6" s="66" t="s">
        <v>251</v>
      </c>
      <c r="M6" s="66"/>
      <c r="N6" s="160" t="s">
        <v>251</v>
      </c>
      <c r="O6" s="51"/>
      <c r="P6" s="52" t="s">
        <v>251</v>
      </c>
      <c r="Q6" s="66" t="s">
        <v>251</v>
      </c>
      <c r="R6" s="66"/>
      <c r="S6" s="65"/>
      <c r="T6" s="66"/>
      <c r="U6" s="66"/>
      <c r="V6" s="66"/>
      <c r="W6" s="66"/>
      <c r="X6" s="66"/>
      <c r="Y6" s="25" t="s">
        <v>263</v>
      </c>
      <c r="Z6" s="67"/>
      <c r="AA6" s="67" t="s">
        <v>253</v>
      </c>
      <c r="AB6" s="67" t="s">
        <v>253</v>
      </c>
      <c r="AC6" s="67" t="s">
        <v>251</v>
      </c>
      <c r="AD6" s="67" t="s">
        <v>251</v>
      </c>
      <c r="AE6" s="66"/>
      <c r="AF6" s="66"/>
      <c r="AG6" s="25" t="s">
        <v>263</v>
      </c>
      <c r="AH6" s="25"/>
      <c r="AI6" s="52" t="s">
        <v>251</v>
      </c>
      <c r="AJ6" s="67" t="s">
        <v>251</v>
      </c>
      <c r="AK6" s="66"/>
      <c r="AL6" s="66"/>
      <c r="AM6" s="66"/>
      <c r="AN6" s="66" t="s">
        <v>256</v>
      </c>
      <c r="AO6" s="191"/>
      <c r="AP6" s="148" t="s">
        <v>265</v>
      </c>
    </row>
    <row r="7" spans="1:42" ht="195.75" thickBot="1">
      <c r="A7" s="20" t="s">
        <v>50</v>
      </c>
      <c r="B7" s="96" t="s">
        <v>266</v>
      </c>
      <c r="C7" s="96" t="s">
        <v>267</v>
      </c>
      <c r="D7" s="96" t="s">
        <v>268</v>
      </c>
      <c r="E7" s="96" t="s">
        <v>269</v>
      </c>
      <c r="F7" s="96" t="s">
        <v>270</v>
      </c>
      <c r="G7" s="96" t="s">
        <v>271</v>
      </c>
      <c r="H7" s="96" t="s">
        <v>272</v>
      </c>
      <c r="I7" s="96" t="s">
        <v>273</v>
      </c>
      <c r="J7" s="96" t="s">
        <v>274</v>
      </c>
      <c r="K7" s="96" t="s">
        <v>275</v>
      </c>
      <c r="L7" s="96" t="s">
        <v>276</v>
      </c>
      <c r="M7" s="96" t="s">
        <v>277</v>
      </c>
      <c r="N7" s="150" t="s">
        <v>278</v>
      </c>
      <c r="O7" s="96" t="s">
        <v>279</v>
      </c>
      <c r="P7" s="96" t="s">
        <v>280</v>
      </c>
      <c r="Q7" s="96" t="s">
        <v>281</v>
      </c>
      <c r="R7" s="96" t="s">
        <v>282</v>
      </c>
      <c r="S7" s="96" t="s">
        <v>283</v>
      </c>
      <c r="T7" s="96" t="s">
        <v>284</v>
      </c>
      <c r="U7" s="96" t="s">
        <v>285</v>
      </c>
      <c r="V7" s="96" t="s">
        <v>286</v>
      </c>
      <c r="W7" s="96" t="s">
        <v>287</v>
      </c>
      <c r="X7" s="96" t="s">
        <v>288</v>
      </c>
      <c r="Y7" s="96" t="s">
        <v>289</v>
      </c>
      <c r="Z7" s="96" t="s">
        <v>290</v>
      </c>
      <c r="AA7" s="96" t="s">
        <v>291</v>
      </c>
      <c r="AB7" s="96" t="s">
        <v>292</v>
      </c>
      <c r="AC7" s="96" t="s">
        <v>293</v>
      </c>
      <c r="AD7" s="96" t="s">
        <v>294</v>
      </c>
      <c r="AE7" s="96" t="s">
        <v>295</v>
      </c>
      <c r="AF7" s="96" t="s">
        <v>296</v>
      </c>
      <c r="AG7" s="96" t="s">
        <v>297</v>
      </c>
      <c r="AH7" s="96" t="s">
        <v>298</v>
      </c>
      <c r="AI7" s="96" t="s">
        <v>299</v>
      </c>
      <c r="AJ7" s="96" t="s">
        <v>300</v>
      </c>
      <c r="AK7" s="181" t="s">
        <v>301</v>
      </c>
      <c r="AL7" s="181" t="s">
        <v>302</v>
      </c>
      <c r="AM7" s="181" t="s">
        <v>303</v>
      </c>
      <c r="AN7" s="181" t="s">
        <v>304</v>
      </c>
      <c r="AO7" s="192" t="s">
        <v>269</v>
      </c>
      <c r="AP7" s="150" t="s">
        <v>305</v>
      </c>
    </row>
    <row r="8" spans="1:42">
      <c r="A8" s="141" t="s">
        <v>63</v>
      </c>
      <c r="B8" s="242">
        <v>1100</v>
      </c>
      <c r="C8" s="242">
        <v>1100</v>
      </c>
      <c r="D8" s="242">
        <v>1100</v>
      </c>
      <c r="E8" s="242">
        <v>1100</v>
      </c>
      <c r="F8" s="243">
        <v>1120</v>
      </c>
      <c r="G8" s="243">
        <v>1120</v>
      </c>
      <c r="H8" s="243">
        <v>1100</v>
      </c>
      <c r="I8" s="243">
        <v>1100</v>
      </c>
      <c r="J8" s="243">
        <v>1100</v>
      </c>
      <c r="K8" s="243">
        <v>1100</v>
      </c>
      <c r="L8" s="243">
        <v>1100</v>
      </c>
      <c r="M8" s="243">
        <v>1100</v>
      </c>
      <c r="N8" s="244">
        <v>1140</v>
      </c>
      <c r="O8" s="245">
        <v>1100</v>
      </c>
      <c r="P8" s="245">
        <v>1100</v>
      </c>
      <c r="Q8" s="245">
        <v>1120</v>
      </c>
      <c r="R8" s="245">
        <v>1120</v>
      </c>
      <c r="S8" s="245">
        <v>1120</v>
      </c>
      <c r="T8" s="246">
        <v>1100</v>
      </c>
      <c r="U8" s="246">
        <v>1120</v>
      </c>
      <c r="V8" s="246">
        <v>1120</v>
      </c>
      <c r="W8" s="246">
        <v>1120</v>
      </c>
      <c r="X8" s="246">
        <v>1100</v>
      </c>
      <c r="Y8" s="247">
        <v>1120</v>
      </c>
      <c r="Z8" s="246">
        <v>1100</v>
      </c>
      <c r="AA8" s="246">
        <v>1100</v>
      </c>
      <c r="AB8" s="246">
        <v>1100</v>
      </c>
      <c r="AC8" s="246">
        <v>1100</v>
      </c>
      <c r="AD8" s="246">
        <v>1100</v>
      </c>
      <c r="AE8" s="246">
        <v>1100</v>
      </c>
      <c r="AF8" s="245">
        <v>1140</v>
      </c>
      <c r="AG8" s="245">
        <v>1120</v>
      </c>
      <c r="AH8" s="245">
        <v>1120</v>
      </c>
      <c r="AI8" s="245">
        <v>1100</v>
      </c>
      <c r="AJ8" s="245">
        <v>1100</v>
      </c>
      <c r="AK8" s="248"/>
      <c r="AL8" s="175"/>
      <c r="AM8" s="248"/>
      <c r="AN8" s="248"/>
      <c r="AO8" s="249">
        <v>1100</v>
      </c>
      <c r="AP8" s="250">
        <v>1120</v>
      </c>
    </row>
    <row r="9" spans="1:42" s="255" customFormat="1">
      <c r="B9" s="255" t="s">
        <v>306</v>
      </c>
      <c r="C9" s="255" t="s">
        <v>306</v>
      </c>
      <c r="D9" s="255" t="s">
        <v>306</v>
      </c>
      <c r="E9" s="255" t="s">
        <v>306</v>
      </c>
      <c r="F9" s="255" t="s">
        <v>306</v>
      </c>
      <c r="G9" s="255" t="s">
        <v>306</v>
      </c>
      <c r="H9" s="255" t="s">
        <v>306</v>
      </c>
      <c r="I9" s="255" t="s">
        <v>306</v>
      </c>
      <c r="J9" s="255" t="s">
        <v>306</v>
      </c>
      <c r="K9" s="255" t="s">
        <v>306</v>
      </c>
      <c r="L9" s="255" t="s">
        <v>306</v>
      </c>
      <c r="M9" s="255" t="s">
        <v>306</v>
      </c>
      <c r="N9" s="255" t="s">
        <v>306</v>
      </c>
      <c r="O9" s="255" t="s">
        <v>306</v>
      </c>
      <c r="P9" s="255" t="s">
        <v>306</v>
      </c>
      <c r="Q9" s="255" t="s">
        <v>306</v>
      </c>
      <c r="R9" s="255" t="s">
        <v>306</v>
      </c>
      <c r="S9" s="255" t="s">
        <v>306</v>
      </c>
      <c r="T9" s="255" t="s">
        <v>306</v>
      </c>
      <c r="U9" s="255" t="s">
        <v>306</v>
      </c>
      <c r="V9" s="255" t="s">
        <v>306</v>
      </c>
      <c r="W9" s="255" t="s">
        <v>306</v>
      </c>
      <c r="X9" s="255" t="s">
        <v>306</v>
      </c>
      <c r="Y9" s="255" t="s">
        <v>306</v>
      </c>
      <c r="Z9" s="255" t="s">
        <v>306</v>
      </c>
      <c r="AA9" s="255" t="s">
        <v>306</v>
      </c>
      <c r="AB9" s="255" t="s">
        <v>306</v>
      </c>
      <c r="AC9" s="255" t="s">
        <v>306</v>
      </c>
      <c r="AD9" s="255" t="s">
        <v>306</v>
      </c>
      <c r="AE9" s="255" t="s">
        <v>306</v>
      </c>
      <c r="AF9" s="255" t="s">
        <v>306</v>
      </c>
      <c r="AG9" s="255" t="s">
        <v>306</v>
      </c>
      <c r="AH9" s="255" t="s">
        <v>306</v>
      </c>
      <c r="AI9" s="255" t="s">
        <v>306</v>
      </c>
      <c r="AJ9" s="255" t="s">
        <v>306</v>
      </c>
      <c r="AK9" s="255" t="s">
        <v>306</v>
      </c>
      <c r="AL9" s="255" t="s">
        <v>306</v>
      </c>
      <c r="AM9" s="255" t="s">
        <v>306</v>
      </c>
      <c r="AN9" s="255" t="s">
        <v>306</v>
      </c>
      <c r="AO9" s="255" t="s">
        <v>306</v>
      </c>
      <c r="AP9" s="255" t="s">
        <v>306</v>
      </c>
    </row>
    <row r="10" spans="1:42" s="255" customFormat="1">
      <c r="B10" s="255" t="s">
        <v>307</v>
      </c>
      <c r="C10" s="255" t="s">
        <v>307</v>
      </c>
      <c r="D10" s="256" t="s">
        <v>78</v>
      </c>
      <c r="E10" s="256" t="s">
        <v>78</v>
      </c>
      <c r="F10" s="255" t="s">
        <v>307</v>
      </c>
      <c r="G10" s="255" t="s">
        <v>69</v>
      </c>
      <c r="H10" s="255" t="s">
        <v>307</v>
      </c>
      <c r="I10" s="255" t="s">
        <v>307</v>
      </c>
      <c r="J10" s="255" t="s">
        <v>308</v>
      </c>
      <c r="K10" s="256" t="s">
        <v>78</v>
      </c>
      <c r="L10" s="256" t="s">
        <v>78</v>
      </c>
      <c r="M10" s="255" t="s">
        <v>309</v>
      </c>
      <c r="N10" s="255" t="s">
        <v>78</v>
      </c>
      <c r="R10" s="255" t="s">
        <v>310</v>
      </c>
      <c r="U10" s="255" t="s">
        <v>310</v>
      </c>
      <c r="V10" s="255" t="s">
        <v>310</v>
      </c>
      <c r="X10" s="255" t="s">
        <v>310</v>
      </c>
      <c r="Y10" s="255" t="s">
        <v>311</v>
      </c>
      <c r="AG10" s="255" t="s">
        <v>312</v>
      </c>
      <c r="AH10" s="255" t="s">
        <v>312</v>
      </c>
      <c r="AK10" s="255" t="s">
        <v>312</v>
      </c>
      <c r="AL10" s="255" t="s">
        <v>312</v>
      </c>
      <c r="AM10" s="255" t="s">
        <v>312</v>
      </c>
      <c r="AN10" s="255" t="s">
        <v>312</v>
      </c>
    </row>
    <row r="11" spans="1:42" s="255" customFormat="1">
      <c r="D11" s="255" t="s">
        <v>313</v>
      </c>
      <c r="E11" s="255" t="s">
        <v>313</v>
      </c>
      <c r="F11" s="255" t="s">
        <v>314</v>
      </c>
      <c r="G11" s="255" t="s">
        <v>315</v>
      </c>
      <c r="J11" s="255" t="s">
        <v>313</v>
      </c>
      <c r="K11" s="255" t="s">
        <v>316</v>
      </c>
      <c r="L11" s="255" t="s">
        <v>316</v>
      </c>
      <c r="N11" s="255" t="s">
        <v>316</v>
      </c>
    </row>
    <row r="12" spans="1:42" s="255" customFormat="1">
      <c r="D12" s="255" t="s">
        <v>317</v>
      </c>
      <c r="E12" s="255" t="s">
        <v>317</v>
      </c>
      <c r="J12" s="255" t="s">
        <v>317</v>
      </c>
    </row>
    <row r="13" spans="1:42">
      <c r="A13" s="251" t="s">
        <v>81</v>
      </c>
      <c r="B13" s="252" t="s">
        <v>318</v>
      </c>
      <c r="C13" s="252" t="s">
        <v>318</v>
      </c>
      <c r="D13" s="252" t="s">
        <v>318</v>
      </c>
      <c r="E13" s="252" t="s">
        <v>318</v>
      </c>
      <c r="F13" s="252" t="s">
        <v>318</v>
      </c>
      <c r="G13" s="252" t="s">
        <v>318</v>
      </c>
      <c r="H13" s="252" t="s">
        <v>318</v>
      </c>
      <c r="I13" s="252" t="s">
        <v>318</v>
      </c>
      <c r="J13" s="252" t="s">
        <v>318</v>
      </c>
      <c r="K13" s="252" t="s">
        <v>318</v>
      </c>
      <c r="L13" s="252" t="s">
        <v>318</v>
      </c>
      <c r="M13" s="252" t="s">
        <v>318</v>
      </c>
      <c r="N13" s="253" t="s">
        <v>318</v>
      </c>
      <c r="O13" s="252" t="s">
        <v>318</v>
      </c>
      <c r="P13" s="252" t="s">
        <v>318</v>
      </c>
      <c r="Q13" s="252" t="s">
        <v>318</v>
      </c>
      <c r="R13" s="252" t="s">
        <v>318</v>
      </c>
      <c r="S13" s="252" t="s">
        <v>318</v>
      </c>
      <c r="T13" s="252" t="s">
        <v>318</v>
      </c>
      <c r="U13" s="252" t="s">
        <v>318</v>
      </c>
      <c r="V13" s="252" t="s">
        <v>318</v>
      </c>
      <c r="W13" s="252" t="s">
        <v>318</v>
      </c>
      <c r="X13" s="252" t="s">
        <v>318</v>
      </c>
      <c r="Y13" s="252" t="s">
        <v>318</v>
      </c>
      <c r="Z13" s="252" t="s">
        <v>318</v>
      </c>
      <c r="AA13" s="252" t="s">
        <v>318</v>
      </c>
      <c r="AB13" s="252" t="s">
        <v>318</v>
      </c>
      <c r="AC13" s="252" t="s">
        <v>318</v>
      </c>
      <c r="AD13" s="252" t="s">
        <v>318</v>
      </c>
      <c r="AE13" s="252" t="s">
        <v>318</v>
      </c>
      <c r="AF13" s="252" t="s">
        <v>318</v>
      </c>
      <c r="AG13" s="252" t="s">
        <v>318</v>
      </c>
      <c r="AH13" s="252" t="s">
        <v>318</v>
      </c>
      <c r="AI13" s="252" t="s">
        <v>318</v>
      </c>
      <c r="AJ13" s="252" t="s">
        <v>318</v>
      </c>
      <c r="AK13" s="252" t="s">
        <v>318</v>
      </c>
      <c r="AL13" s="252" t="s">
        <v>318</v>
      </c>
      <c r="AM13" s="252" t="s">
        <v>318</v>
      </c>
      <c r="AN13" s="252" t="s">
        <v>318</v>
      </c>
      <c r="AO13" s="254" t="s">
        <v>318</v>
      </c>
      <c r="AP13" s="253" t="s">
        <v>318</v>
      </c>
    </row>
    <row r="14" spans="1:42" s="7" customFormat="1">
      <c r="A14" s="97"/>
      <c r="B14" s="140" t="s">
        <v>319</v>
      </c>
      <c r="C14" s="140" t="s">
        <v>319</v>
      </c>
      <c r="D14" s="140" t="s">
        <v>319</v>
      </c>
      <c r="E14" s="140" t="s">
        <v>319</v>
      </c>
      <c r="F14" s="140" t="s">
        <v>320</v>
      </c>
      <c r="G14" s="140" t="s">
        <v>320</v>
      </c>
      <c r="H14" s="140" t="s">
        <v>319</v>
      </c>
      <c r="I14" s="140" t="s">
        <v>319</v>
      </c>
      <c r="J14" s="140" t="s">
        <v>319</v>
      </c>
      <c r="K14" s="140" t="s">
        <v>319</v>
      </c>
      <c r="L14" s="140" t="s">
        <v>319</v>
      </c>
      <c r="M14" s="140" t="s">
        <v>319</v>
      </c>
      <c r="N14" s="151" t="s">
        <v>321</v>
      </c>
      <c r="O14" s="140" t="s">
        <v>319</v>
      </c>
      <c r="P14" s="140" t="s">
        <v>319</v>
      </c>
      <c r="Q14" s="140" t="s">
        <v>322</v>
      </c>
      <c r="R14" s="140" t="s">
        <v>322</v>
      </c>
      <c r="S14" s="140" t="s">
        <v>322</v>
      </c>
      <c r="T14" s="140" t="s">
        <v>322</v>
      </c>
      <c r="U14" s="140" t="s">
        <v>322</v>
      </c>
      <c r="V14" s="140" t="s">
        <v>322</v>
      </c>
      <c r="W14" s="140" t="s">
        <v>322</v>
      </c>
      <c r="X14" s="140" t="s">
        <v>322</v>
      </c>
      <c r="Y14" s="140" t="s">
        <v>322</v>
      </c>
      <c r="Z14" s="140" t="s">
        <v>322</v>
      </c>
      <c r="AA14" s="140" t="s">
        <v>322</v>
      </c>
      <c r="AB14" s="140" t="s">
        <v>322</v>
      </c>
      <c r="AC14" s="140" t="s">
        <v>322</v>
      </c>
      <c r="AD14" s="140" t="s">
        <v>322</v>
      </c>
      <c r="AE14" s="140" t="s">
        <v>322</v>
      </c>
      <c r="AF14" s="140" t="s">
        <v>322</v>
      </c>
      <c r="AG14" s="140" t="s">
        <v>322</v>
      </c>
      <c r="AH14" s="140" t="s">
        <v>322</v>
      </c>
      <c r="AI14" s="140" t="s">
        <v>322</v>
      </c>
      <c r="AJ14" s="140" t="s">
        <v>322</v>
      </c>
      <c r="AK14" s="140" t="s">
        <v>322</v>
      </c>
      <c r="AL14" s="140"/>
      <c r="AM14" s="140"/>
      <c r="AN14" s="140"/>
      <c r="AO14" s="193" t="s">
        <v>319</v>
      </c>
      <c r="AP14" s="151" t="s">
        <v>322</v>
      </c>
    </row>
    <row r="15" spans="1:42">
      <c r="A15" s="14"/>
      <c r="B15" s="116" t="s">
        <v>83</v>
      </c>
      <c r="C15" s="116" t="s">
        <v>83</v>
      </c>
      <c r="D15" s="116" t="s">
        <v>83</v>
      </c>
      <c r="E15" s="116" t="s">
        <v>83</v>
      </c>
      <c r="F15" s="116" t="s">
        <v>83</v>
      </c>
      <c r="G15" s="116" t="s">
        <v>83</v>
      </c>
      <c r="H15" s="116" t="s">
        <v>83</v>
      </c>
      <c r="I15" s="116" t="s">
        <v>83</v>
      </c>
      <c r="J15" s="116" t="s">
        <v>83</v>
      </c>
      <c r="K15" s="116" t="s">
        <v>83</v>
      </c>
      <c r="L15" s="116" t="s">
        <v>83</v>
      </c>
      <c r="M15" s="116" t="s">
        <v>83</v>
      </c>
      <c r="N15" s="152" t="s">
        <v>83</v>
      </c>
      <c r="O15" s="116" t="s">
        <v>83</v>
      </c>
      <c r="P15" s="116" t="s">
        <v>83</v>
      </c>
      <c r="Q15" s="116" t="s">
        <v>83</v>
      </c>
      <c r="R15" s="116" t="s">
        <v>323</v>
      </c>
      <c r="S15" s="116" t="s">
        <v>83</v>
      </c>
      <c r="T15" s="116" t="s">
        <v>83</v>
      </c>
      <c r="U15" s="116" t="s">
        <v>83</v>
      </c>
      <c r="V15" s="116" t="s">
        <v>83</v>
      </c>
      <c r="W15" s="116" t="s">
        <v>83</v>
      </c>
      <c r="X15" s="116" t="s">
        <v>83</v>
      </c>
      <c r="Y15" s="116" t="s">
        <v>83</v>
      </c>
      <c r="Z15" s="116" t="s">
        <v>83</v>
      </c>
      <c r="AA15" s="116" t="s">
        <v>83</v>
      </c>
      <c r="AB15" s="116" t="s">
        <v>83</v>
      </c>
      <c r="AC15" s="116" t="s">
        <v>83</v>
      </c>
      <c r="AD15" s="116" t="s">
        <v>83</v>
      </c>
      <c r="AE15" s="116" t="s">
        <v>83</v>
      </c>
      <c r="AF15" s="116" t="s">
        <v>83</v>
      </c>
      <c r="AG15" s="116" t="s">
        <v>83</v>
      </c>
      <c r="AH15" s="116" t="s">
        <v>83</v>
      </c>
      <c r="AI15" s="116" t="s">
        <v>83</v>
      </c>
      <c r="AJ15" s="116" t="s">
        <v>83</v>
      </c>
      <c r="AK15" s="116"/>
      <c r="AL15" s="118" t="s">
        <v>83</v>
      </c>
      <c r="AM15" s="119" t="s">
        <v>83</v>
      </c>
      <c r="AN15" s="116" t="s">
        <v>83</v>
      </c>
      <c r="AO15" s="194" t="s">
        <v>83</v>
      </c>
      <c r="AP15" s="152" t="s">
        <v>83</v>
      </c>
    </row>
    <row r="16" spans="1:42" s="49" customFormat="1" ht="75">
      <c r="A16" s="5" t="s">
        <v>84</v>
      </c>
      <c r="B16" s="169" t="s">
        <v>324</v>
      </c>
      <c r="C16" s="169" t="s">
        <v>324</v>
      </c>
      <c r="D16" s="169" t="s">
        <v>324</v>
      </c>
      <c r="E16" s="169" t="s">
        <v>324</v>
      </c>
      <c r="F16" s="169" t="s">
        <v>324</v>
      </c>
      <c r="G16" s="169" t="s">
        <v>324</v>
      </c>
      <c r="H16" s="169" t="s">
        <v>324</v>
      </c>
      <c r="I16" s="169" t="s">
        <v>324</v>
      </c>
      <c r="J16" s="169" t="s">
        <v>324</v>
      </c>
      <c r="K16" s="169" t="s">
        <v>324</v>
      </c>
      <c r="L16" s="169" t="s">
        <v>324</v>
      </c>
      <c r="M16" s="170" t="s">
        <v>325</v>
      </c>
      <c r="N16" s="171" t="s">
        <v>324</v>
      </c>
      <c r="O16" s="169" t="s">
        <v>324</v>
      </c>
      <c r="P16" s="169" t="s">
        <v>324</v>
      </c>
      <c r="Q16" s="169" t="s">
        <v>324</v>
      </c>
      <c r="R16" s="170" t="s">
        <v>326</v>
      </c>
      <c r="S16" s="170" t="s">
        <v>325</v>
      </c>
      <c r="T16" s="170" t="s">
        <v>327</v>
      </c>
      <c r="U16" s="170" t="s">
        <v>326</v>
      </c>
      <c r="V16" s="170" t="s">
        <v>326</v>
      </c>
      <c r="W16" s="169" t="s">
        <v>324</v>
      </c>
      <c r="X16" s="170" t="s">
        <v>325</v>
      </c>
      <c r="Y16" s="170" t="s">
        <v>325</v>
      </c>
      <c r="Z16" s="169" t="s">
        <v>324</v>
      </c>
      <c r="AA16" s="169" t="s">
        <v>324</v>
      </c>
      <c r="AB16" s="169" t="s">
        <v>324</v>
      </c>
      <c r="AC16" s="169" t="s">
        <v>324</v>
      </c>
      <c r="AD16" s="169" t="s">
        <v>324</v>
      </c>
      <c r="AE16" s="169" t="s">
        <v>324</v>
      </c>
      <c r="AF16" s="169" t="s">
        <v>324</v>
      </c>
      <c r="AG16" s="170" t="s">
        <v>325</v>
      </c>
      <c r="AH16" s="170" t="s">
        <v>325</v>
      </c>
      <c r="AI16" s="169" t="s">
        <v>324</v>
      </c>
      <c r="AJ16" s="169" t="s">
        <v>324</v>
      </c>
      <c r="AK16" s="170" t="s">
        <v>326</v>
      </c>
      <c r="AL16" s="170" t="s">
        <v>326</v>
      </c>
      <c r="AM16" s="170" t="s">
        <v>326</v>
      </c>
      <c r="AN16" s="170" t="s">
        <v>326</v>
      </c>
      <c r="AO16" s="195" t="s">
        <v>324</v>
      </c>
      <c r="AP16" s="171" t="s">
        <v>325</v>
      </c>
    </row>
    <row r="17" spans="1:42" ht="60">
      <c r="B17" s="60" t="s">
        <v>328</v>
      </c>
      <c r="C17" s="60" t="s">
        <v>328</v>
      </c>
      <c r="D17" s="60" t="s">
        <v>328</v>
      </c>
      <c r="E17" s="60" t="s">
        <v>328</v>
      </c>
      <c r="F17" s="60" t="s">
        <v>328</v>
      </c>
      <c r="G17" s="60" t="s">
        <v>328</v>
      </c>
      <c r="H17" s="60" t="s">
        <v>329</v>
      </c>
      <c r="I17" s="60" t="s">
        <v>330</v>
      </c>
      <c r="J17" s="60" t="s">
        <v>328</v>
      </c>
      <c r="K17" s="60" t="s">
        <v>329</v>
      </c>
      <c r="L17" s="60" t="s">
        <v>329</v>
      </c>
      <c r="M17" s="60" t="s">
        <v>331</v>
      </c>
      <c r="N17" s="154" t="s">
        <v>89</v>
      </c>
      <c r="O17" s="60" t="s">
        <v>328</v>
      </c>
      <c r="P17" s="60" t="s">
        <v>332</v>
      </c>
      <c r="Q17" s="60" t="s">
        <v>328</v>
      </c>
      <c r="R17" s="60" t="s">
        <v>333</v>
      </c>
      <c r="S17" s="60" t="s">
        <v>334</v>
      </c>
      <c r="T17" s="60" t="s">
        <v>335</v>
      </c>
      <c r="U17" s="60" t="s">
        <v>336</v>
      </c>
      <c r="V17" s="60" t="s">
        <v>336</v>
      </c>
      <c r="W17" s="60" t="s">
        <v>329</v>
      </c>
      <c r="X17" s="60" t="s">
        <v>337</v>
      </c>
      <c r="Y17" s="60" t="s">
        <v>338</v>
      </c>
      <c r="Z17" s="60" t="s">
        <v>329</v>
      </c>
      <c r="AA17" s="60" t="s">
        <v>329</v>
      </c>
      <c r="AB17" s="60" t="s">
        <v>329</v>
      </c>
      <c r="AC17" s="60" t="s">
        <v>329</v>
      </c>
      <c r="AD17" s="60" t="s">
        <v>328</v>
      </c>
      <c r="AE17" s="60" t="s">
        <v>328</v>
      </c>
      <c r="AF17" s="60" t="s">
        <v>329</v>
      </c>
      <c r="AG17" s="60" t="s">
        <v>339</v>
      </c>
      <c r="AH17" s="60" t="s">
        <v>339</v>
      </c>
      <c r="AI17" s="60" t="s">
        <v>340</v>
      </c>
      <c r="AJ17" s="60" t="s">
        <v>329</v>
      </c>
      <c r="AK17" s="60" t="s">
        <v>333</v>
      </c>
      <c r="AL17" s="60" t="s">
        <v>333</v>
      </c>
      <c r="AM17" s="60" t="s">
        <v>333</v>
      </c>
      <c r="AN17" s="60" t="s">
        <v>341</v>
      </c>
      <c r="AO17" s="196" t="s">
        <v>328</v>
      </c>
      <c r="AP17" s="154" t="s">
        <v>339</v>
      </c>
    </row>
    <row r="18" spans="1:42" s="49" customFormat="1" ht="180">
      <c r="A18" s="6"/>
      <c r="B18" s="60" t="s">
        <v>342</v>
      </c>
      <c r="C18" s="60" t="s">
        <v>343</v>
      </c>
      <c r="D18" s="60" t="s">
        <v>344</v>
      </c>
      <c r="E18" s="60" t="s">
        <v>345</v>
      </c>
      <c r="F18" s="60" t="s">
        <v>346</v>
      </c>
      <c r="G18" s="60" t="s">
        <v>347</v>
      </c>
      <c r="H18" s="60" t="s">
        <v>348</v>
      </c>
      <c r="I18" s="60" t="s">
        <v>349</v>
      </c>
      <c r="J18" s="60" t="s">
        <v>350</v>
      </c>
      <c r="K18" s="60" t="s">
        <v>348</v>
      </c>
      <c r="L18" s="60" t="s">
        <v>348</v>
      </c>
      <c r="M18" s="60" t="s">
        <v>351</v>
      </c>
      <c r="N18" s="154" t="s">
        <v>352</v>
      </c>
      <c r="O18" s="60" t="s">
        <v>343</v>
      </c>
      <c r="P18" s="60" t="s">
        <v>353</v>
      </c>
      <c r="Q18" s="19" t="s">
        <v>354</v>
      </c>
      <c r="R18" s="60" t="s">
        <v>355</v>
      </c>
      <c r="S18" s="60" t="s">
        <v>356</v>
      </c>
      <c r="T18" s="60" t="s">
        <v>357</v>
      </c>
      <c r="U18" s="60" t="s">
        <v>358</v>
      </c>
      <c r="V18" s="60" t="s">
        <v>359</v>
      </c>
      <c r="W18" s="60" t="s">
        <v>360</v>
      </c>
      <c r="X18" s="60" t="s">
        <v>361</v>
      </c>
      <c r="Y18" s="2" t="s">
        <v>362</v>
      </c>
      <c r="Z18" s="60" t="s">
        <v>363</v>
      </c>
      <c r="AA18" s="60" t="s">
        <v>362</v>
      </c>
      <c r="AB18" s="60" t="s">
        <v>364</v>
      </c>
      <c r="AC18" s="60" t="s">
        <v>364</v>
      </c>
      <c r="AD18" s="60" t="s">
        <v>362</v>
      </c>
      <c r="AE18" s="60" t="s">
        <v>343</v>
      </c>
      <c r="AF18" s="60" t="s">
        <v>365</v>
      </c>
      <c r="AG18" s="19" t="s">
        <v>361</v>
      </c>
      <c r="AH18" s="60" t="s">
        <v>366</v>
      </c>
      <c r="AI18" s="19" t="s">
        <v>367</v>
      </c>
      <c r="AJ18" s="60" t="s">
        <v>362</v>
      </c>
      <c r="AK18" s="60" t="s">
        <v>368</v>
      </c>
      <c r="AL18" s="60" t="s">
        <v>369</v>
      </c>
      <c r="AM18" s="60" t="s">
        <v>370</v>
      </c>
      <c r="AN18" s="60" t="s">
        <v>371</v>
      </c>
      <c r="AO18" s="196" t="s">
        <v>345</v>
      </c>
      <c r="AP18" s="154" t="s">
        <v>372</v>
      </c>
    </row>
    <row r="19" spans="1:42" ht="135">
      <c r="A19" s="6"/>
      <c r="B19" s="60" t="s">
        <v>373</v>
      </c>
      <c r="C19" s="60" t="s">
        <v>373</v>
      </c>
      <c r="D19" s="60" t="s">
        <v>373</v>
      </c>
      <c r="E19" s="60" t="s">
        <v>373</v>
      </c>
      <c r="F19" s="60" t="s">
        <v>373</v>
      </c>
      <c r="G19" s="60" t="s">
        <v>374</v>
      </c>
      <c r="H19" s="60" t="s">
        <v>375</v>
      </c>
      <c r="I19" s="60" t="s">
        <v>376</v>
      </c>
      <c r="J19" s="60" t="s">
        <v>377</v>
      </c>
      <c r="K19" s="60" t="s">
        <v>378</v>
      </c>
      <c r="L19" s="60" t="s">
        <v>379</v>
      </c>
      <c r="M19" s="60" t="s">
        <v>380</v>
      </c>
      <c r="N19" s="154" t="s">
        <v>381</v>
      </c>
      <c r="O19" s="60" t="s">
        <v>373</v>
      </c>
      <c r="P19" s="60" t="s">
        <v>382</v>
      </c>
      <c r="Q19" s="60" t="s">
        <v>373</v>
      </c>
      <c r="R19" s="60" t="s">
        <v>383</v>
      </c>
      <c r="S19" s="60" t="s">
        <v>384</v>
      </c>
      <c r="T19" s="60" t="s">
        <v>385</v>
      </c>
      <c r="U19" s="60" t="s">
        <v>386</v>
      </c>
      <c r="V19" s="60" t="s">
        <v>387</v>
      </c>
      <c r="W19" s="60" t="s">
        <v>388</v>
      </c>
      <c r="X19" s="60" t="s">
        <v>386</v>
      </c>
      <c r="Y19" s="60" t="s">
        <v>389</v>
      </c>
      <c r="Z19" s="60" t="s">
        <v>375</v>
      </c>
      <c r="AA19" s="60" t="s">
        <v>363</v>
      </c>
      <c r="AB19" s="60" t="s">
        <v>363</v>
      </c>
      <c r="AC19" s="60" t="s">
        <v>390</v>
      </c>
      <c r="AD19" s="60" t="s">
        <v>343</v>
      </c>
      <c r="AE19" s="60" t="s">
        <v>391</v>
      </c>
      <c r="AF19" s="60" t="s">
        <v>392</v>
      </c>
      <c r="AG19" s="60" t="s">
        <v>393</v>
      </c>
      <c r="AH19" s="60" t="s">
        <v>394</v>
      </c>
      <c r="AI19" s="60" t="s">
        <v>373</v>
      </c>
      <c r="AJ19" s="60" t="s">
        <v>348</v>
      </c>
      <c r="AK19" s="60" t="s">
        <v>386</v>
      </c>
      <c r="AL19" s="60" t="s">
        <v>395</v>
      </c>
      <c r="AM19" s="60" t="s">
        <v>386</v>
      </c>
      <c r="AN19" s="60" t="s">
        <v>386</v>
      </c>
      <c r="AO19" s="196" t="s">
        <v>373</v>
      </c>
      <c r="AP19" s="154" t="s">
        <v>396</v>
      </c>
    </row>
    <row r="20" spans="1:42" ht="90">
      <c r="A20" s="47"/>
      <c r="B20" s="2"/>
      <c r="C20" s="2"/>
      <c r="D20" s="2"/>
      <c r="E20" s="2"/>
      <c r="F20" s="60"/>
      <c r="G20" s="60" t="s">
        <v>386</v>
      </c>
      <c r="H20" s="2"/>
      <c r="I20" s="60"/>
      <c r="J20" s="60" t="s">
        <v>397</v>
      </c>
      <c r="K20" s="60" t="s">
        <v>375</v>
      </c>
      <c r="L20" s="60" t="s">
        <v>375</v>
      </c>
      <c r="M20" s="60" t="s">
        <v>398</v>
      </c>
      <c r="N20" s="154" t="s">
        <v>399</v>
      </c>
      <c r="O20" s="19"/>
      <c r="P20" s="60"/>
      <c r="Q20" s="60"/>
      <c r="R20" s="60"/>
      <c r="S20" s="60" t="s">
        <v>400</v>
      </c>
      <c r="T20" s="60"/>
      <c r="U20" s="60"/>
      <c r="V20" s="60" t="s">
        <v>386</v>
      </c>
      <c r="W20" s="60" t="s">
        <v>386</v>
      </c>
      <c r="Y20" s="60" t="s">
        <v>401</v>
      </c>
      <c r="Z20" s="2"/>
      <c r="AA20" s="60" t="s">
        <v>375</v>
      </c>
      <c r="AB20" s="60" t="s">
        <v>375</v>
      </c>
      <c r="AC20" s="60" t="s">
        <v>375</v>
      </c>
      <c r="AD20" s="60" t="s">
        <v>373</v>
      </c>
      <c r="AE20" s="60" t="s">
        <v>373</v>
      </c>
      <c r="AF20" s="68" t="s">
        <v>402</v>
      </c>
      <c r="AG20" s="60" t="s">
        <v>403</v>
      </c>
      <c r="AH20" s="60" t="s">
        <v>404</v>
      </c>
      <c r="AI20" s="60"/>
      <c r="AJ20" s="60" t="s">
        <v>375</v>
      </c>
      <c r="AK20" s="60"/>
      <c r="AO20" s="197"/>
      <c r="AP20" s="154" t="s">
        <v>386</v>
      </c>
    </row>
    <row r="21" spans="1:42" s="17" customFormat="1" ht="60">
      <c r="A21" s="47"/>
      <c r="B21" s="2"/>
      <c r="C21" s="2"/>
      <c r="D21" s="2"/>
      <c r="E21" s="2"/>
      <c r="F21" s="60"/>
      <c r="G21" s="60"/>
      <c r="H21" s="2"/>
      <c r="I21" s="2"/>
      <c r="J21" s="60" t="s">
        <v>373</v>
      </c>
      <c r="N21" s="155"/>
      <c r="O21"/>
      <c r="P21" s="60"/>
      <c r="Q21" s="60"/>
      <c r="R21" s="60"/>
      <c r="S21" s="60"/>
      <c r="T21" s="60"/>
      <c r="U21" s="60"/>
      <c r="V21" s="60"/>
      <c r="W21" s="60"/>
      <c r="X21" s="60"/>
      <c r="Y21" s="60" t="s">
        <v>400</v>
      </c>
      <c r="Z21" s="2"/>
      <c r="AA21" s="2"/>
      <c r="AB21" s="2"/>
      <c r="AC21" s="2"/>
      <c r="AD21" s="2"/>
      <c r="AG21" s="60" t="s">
        <v>405</v>
      </c>
      <c r="AH21" s="60" t="s">
        <v>386</v>
      </c>
      <c r="AI21" s="60"/>
      <c r="AJ21" s="2"/>
      <c r="AK21"/>
      <c r="AL21"/>
      <c r="AN21"/>
      <c r="AO21" s="197"/>
      <c r="AP21" s="154"/>
    </row>
    <row r="22" spans="1:42" ht="30">
      <c r="A22" s="13" t="s">
        <v>406</v>
      </c>
      <c r="B22" s="2"/>
      <c r="C22" s="2"/>
      <c r="D22" s="2"/>
      <c r="E22" s="2"/>
      <c r="F22" s="2"/>
      <c r="G22" s="2"/>
      <c r="H22" s="2"/>
      <c r="I22" s="2"/>
      <c r="J22" s="2"/>
      <c r="K22" s="17"/>
      <c r="L22" s="17"/>
      <c r="M22" s="17"/>
      <c r="P22" s="2"/>
      <c r="Q22" s="2"/>
      <c r="R22" s="2"/>
      <c r="S22" s="2"/>
      <c r="T22" s="2"/>
      <c r="U22" s="2"/>
      <c r="V22" s="2"/>
      <c r="W22" s="2"/>
      <c r="X22" s="2"/>
      <c r="Y22" s="2"/>
      <c r="Z22" s="2"/>
      <c r="AA22" s="2"/>
      <c r="AB22" s="2"/>
      <c r="AC22" s="2"/>
      <c r="AD22" s="2"/>
      <c r="AE22" s="17"/>
      <c r="AF22" s="17"/>
      <c r="AG22" s="60" t="s">
        <v>386</v>
      </c>
      <c r="AH22" s="2"/>
      <c r="AI22" s="2"/>
      <c r="AJ22" s="2"/>
      <c r="AO22" s="197"/>
    </row>
    <row r="23" spans="1:42">
      <c r="A23" s="13"/>
      <c r="B23" s="2"/>
      <c r="C23" s="2"/>
      <c r="D23" s="2"/>
      <c r="E23" s="2"/>
      <c r="F23" s="2"/>
      <c r="G23" s="2"/>
      <c r="H23" s="2"/>
      <c r="I23" s="2"/>
      <c r="J23" s="2"/>
      <c r="K23" s="17"/>
      <c r="L23" s="17"/>
      <c r="M23" s="17"/>
      <c r="P23" s="2"/>
      <c r="Q23" s="2"/>
      <c r="R23" s="2"/>
      <c r="S23" s="2"/>
      <c r="T23" s="2"/>
      <c r="U23" s="2"/>
      <c r="V23" s="2"/>
      <c r="W23" s="2"/>
      <c r="X23" s="2"/>
      <c r="Y23" s="2"/>
      <c r="Z23" s="2"/>
      <c r="AA23" s="2"/>
      <c r="AB23" s="2"/>
      <c r="AC23" s="2"/>
      <c r="AD23" s="2"/>
      <c r="AE23" s="17"/>
      <c r="AF23" s="17"/>
      <c r="AG23" s="2"/>
      <c r="AI23" s="2"/>
      <c r="AJ23" s="2"/>
      <c r="AO23" s="197"/>
      <c r="AP23" s="156"/>
    </row>
    <row r="24" spans="1:42">
      <c r="A24" s="13"/>
      <c r="B24" s="104" t="s">
        <v>131</v>
      </c>
      <c r="C24" s="104" t="s">
        <v>131</v>
      </c>
      <c r="D24" s="104" t="s">
        <v>131</v>
      </c>
      <c r="E24" s="104" t="s">
        <v>131</v>
      </c>
      <c r="F24" s="104" t="s">
        <v>131</v>
      </c>
      <c r="G24" s="104" t="s">
        <v>131</v>
      </c>
      <c r="H24" s="104" t="s">
        <v>131</v>
      </c>
      <c r="I24" s="104" t="s">
        <v>131</v>
      </c>
      <c r="J24" s="104" t="s">
        <v>131</v>
      </c>
      <c r="K24" s="104" t="s">
        <v>131</v>
      </c>
      <c r="L24" s="104" t="s">
        <v>131</v>
      </c>
      <c r="M24" s="104" t="s">
        <v>131</v>
      </c>
      <c r="N24" s="157" t="s">
        <v>131</v>
      </c>
      <c r="O24" s="104" t="s">
        <v>131</v>
      </c>
      <c r="P24" s="104" t="s">
        <v>131</v>
      </c>
      <c r="Q24" s="104" t="s">
        <v>131</v>
      </c>
      <c r="R24" s="104" t="s">
        <v>131</v>
      </c>
      <c r="S24" s="104" t="s">
        <v>131</v>
      </c>
      <c r="T24" s="104" t="s">
        <v>131</v>
      </c>
      <c r="U24" s="104" t="s">
        <v>131</v>
      </c>
      <c r="V24" s="104" t="s">
        <v>131</v>
      </c>
      <c r="W24" s="104" t="s">
        <v>131</v>
      </c>
      <c r="X24" s="104" t="s">
        <v>131</v>
      </c>
      <c r="Y24" s="104" t="s">
        <v>131</v>
      </c>
      <c r="Z24" s="104" t="s">
        <v>131</v>
      </c>
      <c r="AA24" s="104" t="s">
        <v>131</v>
      </c>
      <c r="AB24" s="104" t="s">
        <v>131</v>
      </c>
      <c r="AC24" s="104" t="s">
        <v>131</v>
      </c>
      <c r="AD24" s="104" t="s">
        <v>131</v>
      </c>
      <c r="AE24" s="104" t="s">
        <v>131</v>
      </c>
      <c r="AF24" s="104" t="s">
        <v>131</v>
      </c>
      <c r="AG24" s="104" t="s">
        <v>131</v>
      </c>
      <c r="AH24" s="104" t="s">
        <v>131</v>
      </c>
      <c r="AI24" s="104" t="s">
        <v>131</v>
      </c>
      <c r="AJ24" s="104" t="s">
        <v>131</v>
      </c>
      <c r="AK24" s="104" t="s">
        <v>131</v>
      </c>
      <c r="AL24" s="104" t="s">
        <v>131</v>
      </c>
      <c r="AM24" s="104" t="s">
        <v>131</v>
      </c>
      <c r="AN24" s="104" t="s">
        <v>131</v>
      </c>
      <c r="AO24" s="198" t="s">
        <v>131</v>
      </c>
      <c r="AP24" s="157" t="s">
        <v>131</v>
      </c>
    </row>
    <row r="25" spans="1:42">
      <c r="A25" s="13"/>
      <c r="B25" s="104" t="s">
        <v>132</v>
      </c>
      <c r="C25" s="104" t="s">
        <v>132</v>
      </c>
      <c r="D25" s="104" t="s">
        <v>132</v>
      </c>
      <c r="E25" s="104" t="s">
        <v>132</v>
      </c>
      <c r="F25" s="104" t="s">
        <v>132</v>
      </c>
      <c r="G25" s="104" t="s">
        <v>132</v>
      </c>
      <c r="H25" s="104" t="s">
        <v>132</v>
      </c>
      <c r="I25" s="104" t="s">
        <v>132</v>
      </c>
      <c r="J25" s="104" t="s">
        <v>132</v>
      </c>
      <c r="K25" s="104" t="s">
        <v>132</v>
      </c>
      <c r="L25" s="104" t="s">
        <v>132</v>
      </c>
      <c r="M25" s="104" t="s">
        <v>132</v>
      </c>
      <c r="N25" s="157" t="s">
        <v>132</v>
      </c>
      <c r="O25" s="104" t="s">
        <v>132</v>
      </c>
      <c r="P25" s="104" t="s">
        <v>132</v>
      </c>
      <c r="Q25" s="104" t="s">
        <v>132</v>
      </c>
      <c r="R25" s="104" t="s">
        <v>132</v>
      </c>
      <c r="S25" s="104" t="s">
        <v>132</v>
      </c>
      <c r="T25" s="104" t="s">
        <v>132</v>
      </c>
      <c r="U25" s="104" t="s">
        <v>132</v>
      </c>
      <c r="V25" s="104" t="s">
        <v>132</v>
      </c>
      <c r="W25" s="104" t="s">
        <v>132</v>
      </c>
      <c r="X25" s="104" t="s">
        <v>132</v>
      </c>
      <c r="Y25" s="104" t="s">
        <v>132</v>
      </c>
      <c r="Z25" s="104" t="s">
        <v>132</v>
      </c>
      <c r="AA25" s="104" t="s">
        <v>132</v>
      </c>
      <c r="AB25" s="104" t="s">
        <v>132</v>
      </c>
      <c r="AC25" s="104" t="s">
        <v>132</v>
      </c>
      <c r="AD25" s="104" t="s">
        <v>132</v>
      </c>
      <c r="AE25" s="104" t="s">
        <v>132</v>
      </c>
      <c r="AF25" s="104" t="s">
        <v>132</v>
      </c>
      <c r="AG25" s="104" t="s">
        <v>132</v>
      </c>
      <c r="AH25" s="104" t="s">
        <v>132</v>
      </c>
      <c r="AI25" s="104" t="s">
        <v>132</v>
      </c>
      <c r="AJ25" s="104" t="s">
        <v>132</v>
      </c>
      <c r="AK25" s="104" t="s">
        <v>132</v>
      </c>
      <c r="AL25" s="104" t="s">
        <v>132</v>
      </c>
      <c r="AM25" s="104" t="s">
        <v>132</v>
      </c>
      <c r="AN25" s="104" t="s">
        <v>132</v>
      </c>
      <c r="AO25" s="198" t="s">
        <v>132</v>
      </c>
      <c r="AP25" s="157" t="s">
        <v>132</v>
      </c>
    </row>
    <row r="26" spans="1:42">
      <c r="A26" s="13"/>
      <c r="B26" s="104" t="s">
        <v>133</v>
      </c>
      <c r="C26" s="104" t="s">
        <v>133</v>
      </c>
      <c r="D26" s="104" t="s">
        <v>133</v>
      </c>
      <c r="E26" s="104" t="s">
        <v>133</v>
      </c>
      <c r="F26" s="104" t="s">
        <v>133</v>
      </c>
      <c r="G26" s="104" t="s">
        <v>133</v>
      </c>
      <c r="H26" s="104" t="s">
        <v>133</v>
      </c>
      <c r="I26" s="104" t="s">
        <v>133</v>
      </c>
      <c r="J26" s="104" t="s">
        <v>133</v>
      </c>
      <c r="K26" s="104" t="s">
        <v>133</v>
      </c>
      <c r="L26" s="104" t="s">
        <v>133</v>
      </c>
      <c r="M26" s="104" t="s">
        <v>133</v>
      </c>
      <c r="N26" s="157" t="s">
        <v>133</v>
      </c>
      <c r="O26" s="104" t="s">
        <v>133</v>
      </c>
      <c r="P26" s="104" t="s">
        <v>133</v>
      </c>
      <c r="Q26" s="104" t="s">
        <v>133</v>
      </c>
      <c r="R26" s="104" t="s">
        <v>133</v>
      </c>
      <c r="S26" s="104" t="s">
        <v>133</v>
      </c>
      <c r="T26" s="104" t="s">
        <v>133</v>
      </c>
      <c r="U26" s="104" t="s">
        <v>133</v>
      </c>
      <c r="V26" s="104" t="s">
        <v>133</v>
      </c>
      <c r="W26" s="104" t="s">
        <v>133</v>
      </c>
      <c r="X26" s="104" t="s">
        <v>133</v>
      </c>
      <c r="Y26" s="104" t="s">
        <v>133</v>
      </c>
      <c r="Z26" s="104" t="s">
        <v>133</v>
      </c>
      <c r="AA26" s="104" t="s">
        <v>133</v>
      </c>
      <c r="AB26" s="104" t="s">
        <v>133</v>
      </c>
      <c r="AC26" s="104" t="s">
        <v>133</v>
      </c>
      <c r="AD26" s="104" t="s">
        <v>133</v>
      </c>
      <c r="AE26" s="104" t="s">
        <v>133</v>
      </c>
      <c r="AF26" s="104" t="s">
        <v>133</v>
      </c>
      <c r="AG26" s="104" t="s">
        <v>133</v>
      </c>
      <c r="AH26" s="104" t="s">
        <v>133</v>
      </c>
      <c r="AI26" s="104" t="s">
        <v>133</v>
      </c>
      <c r="AJ26" s="104" t="s">
        <v>133</v>
      </c>
      <c r="AK26" s="104" t="s">
        <v>133</v>
      </c>
      <c r="AL26" s="104" t="s">
        <v>133</v>
      </c>
      <c r="AM26" s="104" t="s">
        <v>133</v>
      </c>
      <c r="AN26" s="104" t="s">
        <v>133</v>
      </c>
      <c r="AO26" s="198" t="s">
        <v>133</v>
      </c>
      <c r="AP26" s="157" t="s">
        <v>133</v>
      </c>
    </row>
    <row r="27" spans="1:42">
      <c r="A27" s="13"/>
      <c r="B27" s="12" t="s">
        <v>134</v>
      </c>
      <c r="C27" s="12" t="s">
        <v>134</v>
      </c>
      <c r="D27" s="12" t="s">
        <v>134</v>
      </c>
      <c r="E27" s="12" t="s">
        <v>134</v>
      </c>
      <c r="F27" s="12" t="s">
        <v>134</v>
      </c>
      <c r="G27" s="12" t="s">
        <v>134</v>
      </c>
      <c r="H27" s="12" t="s">
        <v>134</v>
      </c>
      <c r="I27" s="12" t="s">
        <v>134</v>
      </c>
      <c r="J27" s="12" t="s">
        <v>134</v>
      </c>
      <c r="K27" s="12" t="s">
        <v>134</v>
      </c>
      <c r="L27" s="12" t="s">
        <v>134</v>
      </c>
      <c r="M27" s="12" t="s">
        <v>134</v>
      </c>
      <c r="N27" s="157" t="s">
        <v>134</v>
      </c>
      <c r="O27" s="12" t="s">
        <v>134</v>
      </c>
      <c r="P27" s="12" t="s">
        <v>134</v>
      </c>
      <c r="Q27" s="12" t="s">
        <v>134</v>
      </c>
      <c r="R27" s="12" t="s">
        <v>134</v>
      </c>
      <c r="S27" s="12" t="s">
        <v>134</v>
      </c>
      <c r="T27" s="12" t="s">
        <v>134</v>
      </c>
      <c r="U27" s="12" t="s">
        <v>134</v>
      </c>
      <c r="V27" s="12" t="s">
        <v>134</v>
      </c>
      <c r="W27" s="12" t="s">
        <v>134</v>
      </c>
      <c r="X27" s="12" t="s">
        <v>134</v>
      </c>
      <c r="Y27" s="12" t="s">
        <v>134</v>
      </c>
      <c r="Z27" s="12" t="s">
        <v>134</v>
      </c>
      <c r="AA27" s="12" t="s">
        <v>134</v>
      </c>
      <c r="AB27" s="12" t="s">
        <v>134</v>
      </c>
      <c r="AC27" s="12" t="s">
        <v>134</v>
      </c>
      <c r="AD27" s="12" t="s">
        <v>134</v>
      </c>
      <c r="AE27" s="12" t="s">
        <v>134</v>
      </c>
      <c r="AF27" s="12" t="s">
        <v>134</v>
      </c>
      <c r="AG27" s="12" t="s">
        <v>134</v>
      </c>
      <c r="AH27" s="12" t="s">
        <v>134</v>
      </c>
      <c r="AI27" s="12" t="s">
        <v>134</v>
      </c>
      <c r="AJ27" s="12" t="s">
        <v>134</v>
      </c>
      <c r="AK27" s="12" t="s">
        <v>134</v>
      </c>
      <c r="AL27" s="12" t="s">
        <v>134</v>
      </c>
      <c r="AM27" s="12" t="s">
        <v>134</v>
      </c>
      <c r="AN27" s="12" t="s">
        <v>134</v>
      </c>
      <c r="AO27" s="198" t="s">
        <v>134</v>
      </c>
      <c r="AP27" s="157" t="s">
        <v>134</v>
      </c>
    </row>
    <row r="28" spans="1:42">
      <c r="A28" s="13"/>
      <c r="B28" s="12" t="s">
        <v>136</v>
      </c>
      <c r="C28" s="12" t="s">
        <v>136</v>
      </c>
      <c r="D28" s="12" t="s">
        <v>136</v>
      </c>
      <c r="E28" s="12" t="s">
        <v>136</v>
      </c>
      <c r="F28" s="12" t="s">
        <v>136</v>
      </c>
      <c r="G28" s="12" t="s">
        <v>136</v>
      </c>
      <c r="H28" s="12" t="s">
        <v>136</v>
      </c>
      <c r="I28" s="12" t="s">
        <v>136</v>
      </c>
      <c r="J28" s="12" t="s">
        <v>136</v>
      </c>
      <c r="K28" s="12" t="s">
        <v>136</v>
      </c>
      <c r="L28" s="12" t="s">
        <v>136</v>
      </c>
      <c r="M28" s="12" t="s">
        <v>136</v>
      </c>
      <c r="N28" s="157" t="s">
        <v>136</v>
      </c>
      <c r="O28" s="12" t="s">
        <v>136</v>
      </c>
      <c r="P28" s="12" t="s">
        <v>136</v>
      </c>
      <c r="Q28" s="12" t="s">
        <v>136</v>
      </c>
      <c r="R28" s="12" t="s">
        <v>136</v>
      </c>
      <c r="S28" s="12" t="s">
        <v>136</v>
      </c>
      <c r="T28" s="12" t="s">
        <v>136</v>
      </c>
      <c r="U28" s="12" t="s">
        <v>136</v>
      </c>
      <c r="V28" s="12" t="s">
        <v>136</v>
      </c>
      <c r="W28" s="12" t="s">
        <v>136</v>
      </c>
      <c r="X28" s="12" t="s">
        <v>136</v>
      </c>
      <c r="Y28" s="12" t="s">
        <v>136</v>
      </c>
      <c r="Z28" s="12" t="s">
        <v>136</v>
      </c>
      <c r="AA28" s="12" t="s">
        <v>136</v>
      </c>
      <c r="AB28" s="12" t="s">
        <v>136</v>
      </c>
      <c r="AC28" s="12" t="s">
        <v>136</v>
      </c>
      <c r="AD28" s="12" t="s">
        <v>136</v>
      </c>
      <c r="AE28" s="12" t="s">
        <v>136</v>
      </c>
      <c r="AF28" s="12" t="s">
        <v>136</v>
      </c>
      <c r="AG28" s="12" t="s">
        <v>136</v>
      </c>
      <c r="AH28" s="69" t="s">
        <v>136</v>
      </c>
      <c r="AI28" s="12" t="s">
        <v>136</v>
      </c>
      <c r="AJ28" s="12" t="s">
        <v>136</v>
      </c>
      <c r="AK28" s="12" t="s">
        <v>136</v>
      </c>
      <c r="AL28" s="12" t="s">
        <v>136</v>
      </c>
      <c r="AM28" s="12" t="s">
        <v>136</v>
      </c>
      <c r="AN28" s="12" t="s">
        <v>136</v>
      </c>
      <c r="AO28" s="198" t="s">
        <v>136</v>
      </c>
      <c r="AP28" s="157" t="s">
        <v>136</v>
      </c>
    </row>
    <row r="29" spans="1:42">
      <c r="A29" s="13"/>
      <c r="B29" s="12" t="s">
        <v>241</v>
      </c>
      <c r="C29" s="12" t="s">
        <v>241</v>
      </c>
      <c r="D29" s="12" t="s">
        <v>241</v>
      </c>
      <c r="E29" s="12" t="s">
        <v>241</v>
      </c>
      <c r="F29" s="12" t="s">
        <v>241</v>
      </c>
      <c r="G29" s="12" t="s">
        <v>137</v>
      </c>
      <c r="H29" s="12" t="s">
        <v>241</v>
      </c>
      <c r="I29" s="12" t="s">
        <v>241</v>
      </c>
      <c r="J29" s="12" t="s">
        <v>241</v>
      </c>
      <c r="K29" s="12" t="s">
        <v>241</v>
      </c>
      <c r="L29" s="12" t="s">
        <v>241</v>
      </c>
      <c r="M29" s="12" t="s">
        <v>241</v>
      </c>
      <c r="N29" s="157" t="s">
        <v>407</v>
      </c>
      <c r="O29" s="12" t="s">
        <v>241</v>
      </c>
      <c r="P29" s="12" t="s">
        <v>241</v>
      </c>
      <c r="Q29" s="12" t="s">
        <v>241</v>
      </c>
      <c r="R29" s="12" t="s">
        <v>408</v>
      </c>
      <c r="S29" s="12" t="s">
        <v>241</v>
      </c>
      <c r="T29" s="12" t="s">
        <v>409</v>
      </c>
      <c r="U29" s="12" t="s">
        <v>410</v>
      </c>
      <c r="V29" s="12" t="s">
        <v>408</v>
      </c>
      <c r="W29" s="12" t="s">
        <v>411</v>
      </c>
      <c r="X29" s="69" t="s">
        <v>409</v>
      </c>
      <c r="Y29" s="12" t="s">
        <v>241</v>
      </c>
      <c r="Z29" s="12" t="s">
        <v>241</v>
      </c>
      <c r="AA29" s="12" t="s">
        <v>409</v>
      </c>
      <c r="AB29" s="12" t="s">
        <v>137</v>
      </c>
      <c r="AC29" s="12" t="s">
        <v>137</v>
      </c>
      <c r="AD29" s="12" t="s">
        <v>409</v>
      </c>
      <c r="AE29" s="12" t="s">
        <v>241</v>
      </c>
      <c r="AF29" s="12" t="s">
        <v>407</v>
      </c>
      <c r="AG29" s="69" t="s">
        <v>412</v>
      </c>
      <c r="AH29" s="69" t="s">
        <v>241</v>
      </c>
      <c r="AI29" s="12" t="s">
        <v>241</v>
      </c>
      <c r="AJ29" s="12" t="s">
        <v>409</v>
      </c>
      <c r="AK29" s="12" t="s">
        <v>408</v>
      </c>
      <c r="AL29" s="12" t="s">
        <v>410</v>
      </c>
      <c r="AM29" s="46" t="s">
        <v>410</v>
      </c>
      <c r="AN29" s="69" t="s">
        <v>409</v>
      </c>
      <c r="AO29" s="198" t="s">
        <v>241</v>
      </c>
      <c r="AP29" s="157" t="s">
        <v>412</v>
      </c>
    </row>
    <row r="30" spans="1:42">
      <c r="A30" s="13"/>
      <c r="B30" s="12" t="s">
        <v>413</v>
      </c>
      <c r="C30" s="12" t="s">
        <v>147</v>
      </c>
      <c r="D30" s="69" t="s">
        <v>414</v>
      </c>
      <c r="E30" s="69" t="s">
        <v>414</v>
      </c>
      <c r="F30" s="12" t="s">
        <v>407</v>
      </c>
      <c r="G30" s="12" t="s">
        <v>415</v>
      </c>
      <c r="H30" s="12" t="s">
        <v>147</v>
      </c>
      <c r="I30" s="69" t="s">
        <v>147</v>
      </c>
      <c r="J30" s="12" t="s">
        <v>137</v>
      </c>
      <c r="K30" s="12" t="s">
        <v>413</v>
      </c>
      <c r="L30" s="12" t="s">
        <v>147</v>
      </c>
      <c r="M30" s="12" t="s">
        <v>147</v>
      </c>
      <c r="N30" s="157" t="s">
        <v>416</v>
      </c>
      <c r="O30" s="12" t="s">
        <v>147</v>
      </c>
      <c r="P30" s="12" t="s">
        <v>147</v>
      </c>
      <c r="Q30" s="12" t="s">
        <v>407</v>
      </c>
      <c r="R30" s="12" t="s">
        <v>417</v>
      </c>
      <c r="S30" s="12" t="s">
        <v>417</v>
      </c>
      <c r="T30" s="12" t="s">
        <v>418</v>
      </c>
      <c r="U30" s="12" t="s">
        <v>408</v>
      </c>
      <c r="V30" s="12" t="s">
        <v>410</v>
      </c>
      <c r="W30" s="12" t="s">
        <v>419</v>
      </c>
      <c r="X30" s="69" t="s">
        <v>420</v>
      </c>
      <c r="Y30" s="12" t="s">
        <v>421</v>
      </c>
      <c r="Z30" s="12" t="s">
        <v>413</v>
      </c>
      <c r="AA30" s="12" t="s">
        <v>241</v>
      </c>
      <c r="AB30" s="12" t="s">
        <v>241</v>
      </c>
      <c r="AC30" s="12" t="s">
        <v>241</v>
      </c>
      <c r="AD30" s="12" t="s">
        <v>241</v>
      </c>
      <c r="AE30" s="12" t="s">
        <v>147</v>
      </c>
      <c r="AF30" s="12" t="s">
        <v>416</v>
      </c>
      <c r="AG30" s="12" t="s">
        <v>417</v>
      </c>
      <c r="AH30" s="12" t="s">
        <v>417</v>
      </c>
      <c r="AI30" s="12" t="s">
        <v>147</v>
      </c>
      <c r="AJ30" s="12" t="s">
        <v>241</v>
      </c>
      <c r="AK30" s="12" t="s">
        <v>417</v>
      </c>
      <c r="AL30" s="12" t="s">
        <v>408</v>
      </c>
      <c r="AM30" s="46" t="s">
        <v>408</v>
      </c>
      <c r="AN30" s="69" t="s">
        <v>408</v>
      </c>
      <c r="AO30" s="198" t="s">
        <v>414</v>
      </c>
      <c r="AP30" s="157" t="s">
        <v>417</v>
      </c>
    </row>
    <row r="31" spans="1:42">
      <c r="A31" s="13"/>
      <c r="B31" s="12" t="s">
        <v>147</v>
      </c>
      <c r="D31" s="69" t="s">
        <v>422</v>
      </c>
      <c r="E31" s="69" t="s">
        <v>422</v>
      </c>
      <c r="F31" s="12" t="s">
        <v>147</v>
      </c>
      <c r="G31" s="12" t="s">
        <v>148</v>
      </c>
      <c r="J31" s="69" t="s">
        <v>414</v>
      </c>
      <c r="K31" s="12" t="s">
        <v>147</v>
      </c>
      <c r="N31" s="157" t="s">
        <v>147</v>
      </c>
      <c r="Q31" s="12" t="s">
        <v>147</v>
      </c>
      <c r="R31" s="12" t="s">
        <v>407</v>
      </c>
      <c r="S31" s="12" t="s">
        <v>407</v>
      </c>
      <c r="T31" s="12" t="s">
        <v>147</v>
      </c>
      <c r="U31" s="12" t="s">
        <v>407</v>
      </c>
      <c r="V31" s="12" t="s">
        <v>417</v>
      </c>
      <c r="W31" s="12" t="s">
        <v>423</v>
      </c>
      <c r="X31" s="69" t="s">
        <v>424</v>
      </c>
      <c r="Y31" s="12" t="s">
        <v>407</v>
      </c>
      <c r="Z31" s="12" t="s">
        <v>147</v>
      </c>
      <c r="AA31" s="12" t="s">
        <v>413</v>
      </c>
      <c r="AB31" s="12" t="s">
        <v>413</v>
      </c>
      <c r="AC31" s="12" t="s">
        <v>147</v>
      </c>
      <c r="AD31" s="12" t="s">
        <v>148</v>
      </c>
      <c r="AF31" s="12" t="s">
        <v>147</v>
      </c>
      <c r="AG31" s="12" t="s">
        <v>407</v>
      </c>
      <c r="AH31" s="12" t="s">
        <v>407</v>
      </c>
      <c r="AJ31" s="12" t="s">
        <v>148</v>
      </c>
      <c r="AK31" s="12" t="s">
        <v>407</v>
      </c>
      <c r="AL31" s="12" t="s">
        <v>407</v>
      </c>
      <c r="AM31" s="12" t="s">
        <v>417</v>
      </c>
      <c r="AN31" s="69" t="s">
        <v>410</v>
      </c>
      <c r="AO31" s="198" t="s">
        <v>422</v>
      </c>
      <c r="AP31" s="157" t="s">
        <v>407</v>
      </c>
    </row>
    <row r="32" spans="1:42">
      <c r="A32" s="13"/>
      <c r="D32" s="69" t="s">
        <v>413</v>
      </c>
      <c r="E32" s="12" t="s">
        <v>147</v>
      </c>
      <c r="G32" s="12" t="s">
        <v>147</v>
      </c>
      <c r="H32" s="183" t="s">
        <v>149</v>
      </c>
      <c r="I32" s="183" t="s">
        <v>149</v>
      </c>
      <c r="J32" s="69" t="s">
        <v>422</v>
      </c>
      <c r="R32" s="12" t="s">
        <v>148</v>
      </c>
      <c r="S32" s="12" t="s">
        <v>147</v>
      </c>
      <c r="U32" s="12" t="s">
        <v>148</v>
      </c>
      <c r="V32" s="12" t="s">
        <v>407</v>
      </c>
      <c r="W32" s="12" t="s">
        <v>146</v>
      </c>
      <c r="X32" s="69" t="s">
        <v>147</v>
      </c>
      <c r="Y32" s="12" t="s">
        <v>417</v>
      </c>
      <c r="AA32" s="12" t="s">
        <v>148</v>
      </c>
      <c r="AB32" s="12" t="s">
        <v>147</v>
      </c>
      <c r="AD32" s="12" t="s">
        <v>147</v>
      </c>
      <c r="AG32" s="69" t="s">
        <v>421</v>
      </c>
      <c r="AH32" s="12" t="s">
        <v>421</v>
      </c>
      <c r="AJ32" s="12" t="s">
        <v>147</v>
      </c>
      <c r="AK32" s="12" t="s">
        <v>148</v>
      </c>
      <c r="AL32" s="12" t="s">
        <v>148</v>
      </c>
      <c r="AM32" s="12" t="s">
        <v>407</v>
      </c>
      <c r="AN32" s="69" t="s">
        <v>407</v>
      </c>
      <c r="AO32" s="198" t="s">
        <v>147</v>
      </c>
      <c r="AP32" s="157" t="s">
        <v>420</v>
      </c>
    </row>
    <row r="33" spans="1:42">
      <c r="A33" s="13"/>
      <c r="C33" s="183" t="s">
        <v>149</v>
      </c>
      <c r="D33" s="12" t="s">
        <v>147</v>
      </c>
      <c r="F33" s="183" t="s">
        <v>149</v>
      </c>
      <c r="H33" s="183" t="s">
        <v>146</v>
      </c>
      <c r="I33" s="183" t="s">
        <v>146</v>
      </c>
      <c r="J33" s="12" t="s">
        <v>147</v>
      </c>
      <c r="K33" s="183" t="s">
        <v>149</v>
      </c>
      <c r="L33" s="183" t="s">
        <v>149</v>
      </c>
      <c r="M33" s="183" t="s">
        <v>149</v>
      </c>
      <c r="N33" s="158" t="s">
        <v>149</v>
      </c>
      <c r="O33" s="183" t="s">
        <v>149</v>
      </c>
      <c r="P33" s="183" t="s">
        <v>149</v>
      </c>
      <c r="Q33" s="183" t="s">
        <v>149</v>
      </c>
      <c r="R33" s="12" t="s">
        <v>147</v>
      </c>
      <c r="S33"/>
      <c r="T33" s="183" t="s">
        <v>149</v>
      </c>
      <c r="U33" s="12" t="s">
        <v>147</v>
      </c>
      <c r="V33" s="12" t="s">
        <v>415</v>
      </c>
      <c r="W33" s="12" t="s">
        <v>148</v>
      </c>
      <c r="X33" s="105"/>
      <c r="Y33" s="12" t="s">
        <v>148</v>
      </c>
      <c r="AA33" s="12" t="s">
        <v>147</v>
      </c>
      <c r="AG33" s="69" t="s">
        <v>241</v>
      </c>
      <c r="AH33" s="69" t="s">
        <v>415</v>
      </c>
      <c r="AJ33" s="12"/>
      <c r="AK33" s="12" t="s">
        <v>147</v>
      </c>
      <c r="AL33" s="12" t="s">
        <v>147</v>
      </c>
      <c r="AM33" s="12" t="s">
        <v>148</v>
      </c>
      <c r="AN33" s="69" t="s">
        <v>420</v>
      </c>
      <c r="AP33" s="157" t="s">
        <v>424</v>
      </c>
    </row>
    <row r="34" spans="1:42">
      <c r="A34" s="13"/>
      <c r="C34" s="183" t="s">
        <v>146</v>
      </c>
      <c r="E34" s="183" t="s">
        <v>149</v>
      </c>
      <c r="F34" s="183" t="s">
        <v>146</v>
      </c>
      <c r="G34" s="183" t="s">
        <v>149</v>
      </c>
      <c r="K34" s="183" t="s">
        <v>146</v>
      </c>
      <c r="L34" s="183" t="s">
        <v>146</v>
      </c>
      <c r="M34" s="183" t="s">
        <v>146</v>
      </c>
      <c r="N34" s="158" t="s">
        <v>146</v>
      </c>
      <c r="O34" s="183" t="s">
        <v>146</v>
      </c>
      <c r="P34" s="183" t="s">
        <v>146</v>
      </c>
      <c r="Q34" s="183" t="s">
        <v>146</v>
      </c>
      <c r="S34" s="183" t="s">
        <v>149</v>
      </c>
      <c r="T34"/>
      <c r="V34" s="12" t="s">
        <v>148</v>
      </c>
      <c r="W34" s="12" t="s">
        <v>147</v>
      </c>
      <c r="X34" s="107" t="s">
        <v>146</v>
      </c>
      <c r="Y34" s="12" t="s">
        <v>146</v>
      </c>
      <c r="Z34" s="183" t="s">
        <v>146</v>
      </c>
      <c r="AA34" s="12"/>
      <c r="AC34" s="183" t="s">
        <v>149</v>
      </c>
      <c r="AD34" s="183" t="s">
        <v>149</v>
      </c>
      <c r="AE34" s="183" t="s">
        <v>149</v>
      </c>
      <c r="AF34" s="183" t="s">
        <v>149</v>
      </c>
      <c r="AG34" s="69" t="s">
        <v>420</v>
      </c>
      <c r="AH34" s="69" t="s">
        <v>148</v>
      </c>
      <c r="AI34" s="104"/>
      <c r="AK34" s="1"/>
      <c r="AL34" s="1"/>
      <c r="AM34" s="12" t="s">
        <v>147</v>
      </c>
      <c r="AN34" s="69" t="s">
        <v>424</v>
      </c>
      <c r="AO34" s="200" t="s">
        <v>149</v>
      </c>
      <c r="AP34" s="157" t="s">
        <v>415</v>
      </c>
    </row>
    <row r="35" spans="1:42">
      <c r="A35" s="13"/>
      <c r="B35" s="183" t="s">
        <v>149</v>
      </c>
      <c r="D35" s="183" t="s">
        <v>149</v>
      </c>
      <c r="E35" s="183" t="s">
        <v>146</v>
      </c>
      <c r="G35" s="183" t="s">
        <v>146</v>
      </c>
      <c r="J35" s="183" t="s">
        <v>149</v>
      </c>
      <c r="K35" s="107" t="s">
        <v>425</v>
      </c>
      <c r="R35" s="183" t="s">
        <v>415</v>
      </c>
      <c r="S35" s="183" t="s">
        <v>146</v>
      </c>
      <c r="T35"/>
      <c r="U35" s="183" t="s">
        <v>149</v>
      </c>
      <c r="V35" s="12" t="s">
        <v>147</v>
      </c>
      <c r="W35"/>
      <c r="X35" s="72"/>
      <c r="Y35" s="12" t="s">
        <v>147</v>
      </c>
      <c r="Z35" s="107" t="s">
        <v>425</v>
      </c>
      <c r="AA35" s="12"/>
      <c r="AB35" s="183" t="s">
        <v>149</v>
      </c>
      <c r="AC35" s="183" t="s">
        <v>146</v>
      </c>
      <c r="AD35" s="183" t="s">
        <v>146</v>
      </c>
      <c r="AE35" s="183" t="s">
        <v>146</v>
      </c>
      <c r="AF35" s="183" t="s">
        <v>146</v>
      </c>
      <c r="AG35" s="69" t="s">
        <v>424</v>
      </c>
      <c r="AH35" s="69" t="s">
        <v>147</v>
      </c>
      <c r="AI35" s="104"/>
      <c r="AK35" s="1"/>
      <c r="AN35" s="69" t="s">
        <v>147</v>
      </c>
      <c r="AO35" s="200" t="s">
        <v>146</v>
      </c>
      <c r="AP35" s="157" t="s">
        <v>146</v>
      </c>
    </row>
    <row r="36" spans="1:42">
      <c r="A36" s="13"/>
      <c r="B36" s="183" t="s">
        <v>146</v>
      </c>
      <c r="D36" s="183" t="s">
        <v>146</v>
      </c>
      <c r="G36" s="12"/>
      <c r="J36" s="183" t="s">
        <v>146</v>
      </c>
      <c r="K36" s="107" t="s">
        <v>426</v>
      </c>
      <c r="R36"/>
      <c r="S36"/>
      <c r="T36"/>
      <c r="U36" s="183" t="s">
        <v>415</v>
      </c>
      <c r="V36"/>
      <c r="W36" s="183" t="s">
        <v>149</v>
      </c>
      <c r="X36"/>
      <c r="Y36"/>
      <c r="Z36" s="107" t="s">
        <v>426</v>
      </c>
      <c r="AA36" s="183" t="s">
        <v>149</v>
      </c>
      <c r="AB36" s="183" t="s">
        <v>146</v>
      </c>
      <c r="AG36" s="69" t="s">
        <v>415</v>
      </c>
      <c r="AH36" s="72"/>
      <c r="AI36" s="183" t="s">
        <v>149</v>
      </c>
      <c r="AK36" s="1"/>
      <c r="AN36" s="105"/>
      <c r="AP36" s="157" t="s">
        <v>147</v>
      </c>
    </row>
    <row r="37" spans="1:42">
      <c r="A37" s="13"/>
      <c r="B37" s="107" t="s">
        <v>425</v>
      </c>
      <c r="D37" s="107" t="s">
        <v>425</v>
      </c>
      <c r="G37" s="12"/>
      <c r="R37"/>
      <c r="S37"/>
      <c r="T37"/>
      <c r="U37" s="183" t="s">
        <v>146</v>
      </c>
      <c r="V37"/>
      <c r="X37"/>
      <c r="Y37"/>
      <c r="AA37" s="183" t="s">
        <v>146</v>
      </c>
      <c r="AB37" s="107" t="s">
        <v>425</v>
      </c>
      <c r="AG37" s="69" t="s">
        <v>147</v>
      </c>
      <c r="AI37" s="183" t="s">
        <v>146</v>
      </c>
      <c r="AJ37" s="183" t="s">
        <v>149</v>
      </c>
      <c r="AK37" s="1"/>
      <c r="AM37" s="46"/>
      <c r="AN37" s="107" t="s">
        <v>415</v>
      </c>
    </row>
    <row r="38" spans="1:42">
      <c r="A38" s="13"/>
      <c r="B38" s="107" t="s">
        <v>426</v>
      </c>
      <c r="D38" s="107" t="s">
        <v>426</v>
      </c>
      <c r="G38" s="12"/>
      <c r="J38" t="s">
        <v>427</v>
      </c>
      <c r="R38"/>
      <c r="S38"/>
      <c r="T38"/>
      <c r="U38"/>
      <c r="V38" s="183" t="s">
        <v>149</v>
      </c>
      <c r="W38"/>
      <c r="X38"/>
      <c r="Y38" s="183" t="s">
        <v>149</v>
      </c>
      <c r="AA38" s="107" t="s">
        <v>425</v>
      </c>
      <c r="AB38" s="107" t="s">
        <v>426</v>
      </c>
      <c r="AH38" s="183" t="s">
        <v>149</v>
      </c>
      <c r="AI38" s="69"/>
      <c r="AJ38" s="183" t="s">
        <v>146</v>
      </c>
      <c r="AK38" s="183" t="s">
        <v>149</v>
      </c>
      <c r="AP38" s="158" t="s">
        <v>149</v>
      </c>
    </row>
    <row r="39" spans="1:42">
      <c r="A39" s="13"/>
      <c r="D39" s="69"/>
      <c r="G39" s="69"/>
      <c r="R39"/>
      <c r="S39"/>
      <c r="T39"/>
      <c r="U39"/>
      <c r="V39" s="183" t="s">
        <v>146</v>
      </c>
      <c r="W39"/>
      <c r="X39"/>
      <c r="Y39"/>
      <c r="AA39" s="107" t="s">
        <v>426</v>
      </c>
      <c r="AG39" s="183" t="s">
        <v>149</v>
      </c>
      <c r="AH39" s="183" t="s">
        <v>146</v>
      </c>
      <c r="AI39" s="69"/>
      <c r="AK39" s="183" t="s">
        <v>415</v>
      </c>
      <c r="AM39" s="183" t="s">
        <v>415</v>
      </c>
    </row>
    <row r="40" spans="1:42">
      <c r="F40" s="104"/>
      <c r="G40" s="69"/>
      <c r="Q40" s="104"/>
      <c r="R40"/>
      <c r="S40"/>
      <c r="T40"/>
      <c r="U40"/>
      <c r="V40"/>
      <c r="W40"/>
      <c r="X40"/>
      <c r="Y40"/>
      <c r="AG40" s="183" t="s">
        <v>146</v>
      </c>
      <c r="AI40" s="69"/>
      <c r="AK40" s="183" t="s">
        <v>146</v>
      </c>
    </row>
    <row r="41" spans="1:42">
      <c r="F41" s="104"/>
      <c r="G41" s="69"/>
      <c r="Q41" s="104"/>
      <c r="R41"/>
      <c r="S41"/>
      <c r="T41"/>
      <c r="U41"/>
      <c r="V41"/>
      <c r="W41"/>
      <c r="AI41" s="69"/>
    </row>
    <row r="42" spans="1:42">
      <c r="F42" s="12"/>
      <c r="G42" s="69"/>
      <c r="Q42" s="12"/>
      <c r="R42"/>
      <c r="S42"/>
      <c r="T42"/>
      <c r="U42"/>
      <c r="V42"/>
      <c r="W42"/>
      <c r="AI42" s="69"/>
    </row>
    <row r="43" spans="1:42">
      <c r="F43" s="12"/>
      <c r="G43" s="69"/>
      <c r="Q43" s="12"/>
      <c r="R43"/>
      <c r="T43"/>
      <c r="V43"/>
      <c r="W43"/>
      <c r="AI43" s="69"/>
      <c r="AN43" s="1"/>
    </row>
    <row r="44" spans="1:42">
      <c r="F44" s="12"/>
      <c r="Q44" s="12"/>
      <c r="R44"/>
      <c r="V44"/>
      <c r="AI44" s="69"/>
      <c r="AN44" s="1"/>
    </row>
    <row r="45" spans="1:42">
      <c r="F45" s="12"/>
      <c r="Q45" s="12"/>
      <c r="R45"/>
      <c r="AI45" s="69"/>
    </row>
    <row r="46" spans="1:42">
      <c r="F46" s="12"/>
      <c r="Q46" s="12"/>
      <c r="AI46" s="69"/>
    </row>
    <row r="47" spans="1:42">
      <c r="F47" s="12"/>
      <c r="Q47" s="12"/>
      <c r="AI47" s="72"/>
    </row>
    <row r="48" spans="1:42">
      <c r="F48" s="12"/>
      <c r="Q48" s="12"/>
    </row>
  </sheetData>
  <pageMargins left="0.7" right="0.7" top="0.75" bottom="0.75" header="0.3" footer="0.3"/>
  <pageSetup paperSize="8" scale="56" fitToWidth="0" orientation="landscape" verticalDpi="598"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rgb="FF00B050"/>
    <pageSetUpPr fitToPage="1"/>
  </sheetPr>
  <dimension ref="A1:AR60"/>
  <sheetViews>
    <sheetView topLeftCell="AL1" zoomScaleNormal="100" workbookViewId="0">
      <selection activeCell="AO21" sqref="AO21"/>
    </sheetView>
  </sheetViews>
  <sheetFormatPr defaultColWidth="9" defaultRowHeight="15" outlineLevelRow="1"/>
  <cols>
    <col min="1" max="1" width="17.125" style="4" bestFit="1" customWidth="1"/>
    <col min="2" max="2" width="37.375" style="1" customWidth="1"/>
    <col min="3" max="3" width="36.5" style="1" customWidth="1"/>
    <col min="4" max="5" width="45.5" style="1" customWidth="1"/>
    <col min="6" max="6" width="39.5" customWidth="1"/>
    <col min="7" max="7" width="37.375" style="1" customWidth="1"/>
    <col min="8" max="8" width="39.5" customWidth="1"/>
    <col min="9" max="14" width="37.375" style="1" customWidth="1"/>
    <col min="15" max="16" width="36.5" style="1" customWidth="1"/>
    <col min="17" max="18" width="37.375" style="1" customWidth="1"/>
    <col min="19" max="19" width="50.75" customWidth="1"/>
    <col min="20" max="20" width="47.875" customWidth="1"/>
    <col min="21" max="21" width="37.375" style="1" customWidth="1"/>
    <col min="22" max="22" width="45.5" style="1" customWidth="1"/>
    <col min="23" max="23" width="42.25" style="1" customWidth="1"/>
    <col min="24" max="24" width="39.5" customWidth="1"/>
    <col min="25" max="25" width="45.5" style="1" customWidth="1"/>
    <col min="26" max="27" width="37.375" style="1" customWidth="1"/>
    <col min="28" max="28" width="39.5" customWidth="1"/>
    <col min="29" max="29" width="39.375" customWidth="1"/>
    <col min="30" max="30" width="37" customWidth="1"/>
    <col min="31" max="31" width="34.5" customWidth="1"/>
    <col min="32" max="32" width="39.375" customWidth="1"/>
    <col min="33" max="33" width="45" customWidth="1"/>
    <col min="34" max="34" width="38.25" customWidth="1"/>
    <col min="35" max="35" width="32" customWidth="1"/>
    <col min="36" max="36" width="38.25" customWidth="1"/>
    <col min="37" max="37" width="50" style="1" customWidth="1"/>
    <col min="38" max="38" width="36.375" customWidth="1"/>
    <col min="39" max="39" width="34.875" customWidth="1"/>
    <col min="40" max="40" width="37.375" style="1" customWidth="1"/>
    <col min="41" max="41" width="39.5" customWidth="1"/>
    <col min="42" max="42" width="47.875" customWidth="1"/>
  </cols>
  <sheetData>
    <row r="1" spans="1:42">
      <c r="A1" s="61"/>
      <c r="B1" s="117" t="s">
        <v>428</v>
      </c>
      <c r="C1" s="117" t="s">
        <v>429</v>
      </c>
      <c r="D1" s="117" t="s">
        <v>430</v>
      </c>
      <c r="E1" s="57" t="s">
        <v>431</v>
      </c>
      <c r="F1" s="57" t="s">
        <v>432</v>
      </c>
      <c r="G1" s="117" t="s">
        <v>433</v>
      </c>
      <c r="H1" s="57" t="s">
        <v>434</v>
      </c>
      <c r="I1" s="117" t="s">
        <v>435</v>
      </c>
      <c r="J1" s="117" t="s">
        <v>436</v>
      </c>
      <c r="K1" s="117"/>
      <c r="L1" s="117" t="s">
        <v>437</v>
      </c>
      <c r="M1" s="117" t="s">
        <v>438</v>
      </c>
      <c r="N1" s="117" t="s">
        <v>439</v>
      </c>
      <c r="O1" s="117" t="s">
        <v>440</v>
      </c>
      <c r="P1" s="117" t="s">
        <v>441</v>
      </c>
      <c r="Q1" s="117" t="s">
        <v>442</v>
      </c>
      <c r="R1" s="117" t="s">
        <v>443</v>
      </c>
      <c r="S1" s="117" t="s">
        <v>444</v>
      </c>
      <c r="T1" s="265" t="s">
        <v>445</v>
      </c>
      <c r="U1" s="117" t="s">
        <v>446</v>
      </c>
      <c r="V1" s="117" t="s">
        <v>447</v>
      </c>
      <c r="W1" s="117" t="s">
        <v>448</v>
      </c>
      <c r="X1" s="57" t="s">
        <v>449</v>
      </c>
      <c r="Y1" s="117" t="s">
        <v>450</v>
      </c>
      <c r="Z1" s="117" t="s">
        <v>451</v>
      </c>
      <c r="AA1" s="117" t="s">
        <v>452</v>
      </c>
      <c r="AB1" s="57" t="s">
        <v>453</v>
      </c>
      <c r="AC1" s="57" t="s">
        <v>454</v>
      </c>
      <c r="AD1" s="57" t="s">
        <v>455</v>
      </c>
      <c r="AE1" s="57" t="s">
        <v>456</v>
      </c>
      <c r="AF1" s="57" t="s">
        <v>457</v>
      </c>
      <c r="AG1" s="57" t="s">
        <v>458</v>
      </c>
      <c r="AH1" s="57" t="s">
        <v>459</v>
      </c>
      <c r="AI1" s="117" t="s">
        <v>460</v>
      </c>
      <c r="AJ1" s="57" t="s">
        <v>459</v>
      </c>
      <c r="AK1" s="267" t="s">
        <v>461</v>
      </c>
      <c r="AL1" s="117" t="s">
        <v>462</v>
      </c>
      <c r="AM1" s="117" t="s">
        <v>463</v>
      </c>
      <c r="AN1" s="185" t="s">
        <v>464</v>
      </c>
      <c r="AO1" s="57" t="s">
        <v>465</v>
      </c>
      <c r="AP1" s="117" t="s">
        <v>466</v>
      </c>
    </row>
    <row r="2" spans="1:42" ht="15.75">
      <c r="A2" s="9"/>
      <c r="B2" s="174" t="s">
        <v>467</v>
      </c>
      <c r="C2" s="174" t="s">
        <v>468</v>
      </c>
      <c r="D2" s="174" t="s">
        <v>469</v>
      </c>
      <c r="E2" s="174" t="s">
        <v>470</v>
      </c>
      <c r="F2" s="55" t="s">
        <v>471</v>
      </c>
      <c r="G2" s="174" t="s">
        <v>472</v>
      </c>
      <c r="H2" s="55" t="s">
        <v>473</v>
      </c>
      <c r="I2" s="174" t="s">
        <v>474</v>
      </c>
      <c r="J2" s="174" t="s">
        <v>475</v>
      </c>
      <c r="K2" s="174" t="s">
        <v>476</v>
      </c>
      <c r="L2" s="174" t="s">
        <v>477</v>
      </c>
      <c r="M2" s="174" t="s">
        <v>478</v>
      </c>
      <c r="N2" s="182" t="s">
        <v>479</v>
      </c>
      <c r="O2" s="174" t="s">
        <v>480</v>
      </c>
      <c r="P2" s="174" t="s">
        <v>481</v>
      </c>
      <c r="Q2" s="182" t="s">
        <v>482</v>
      </c>
      <c r="R2" s="174" t="s">
        <v>483</v>
      </c>
      <c r="S2" s="174" t="s">
        <v>484</v>
      </c>
      <c r="T2" s="266" t="s">
        <v>485</v>
      </c>
      <c r="U2" s="182" t="s">
        <v>486</v>
      </c>
      <c r="V2" s="174" t="s">
        <v>487</v>
      </c>
      <c r="W2" s="174" t="s">
        <v>488</v>
      </c>
      <c r="X2" s="174" t="s">
        <v>489</v>
      </c>
      <c r="Y2" s="174" t="s">
        <v>490</v>
      </c>
      <c r="Z2" s="174" t="s">
        <v>491</v>
      </c>
      <c r="AA2" s="174" t="s">
        <v>492</v>
      </c>
      <c r="AB2" s="174" t="s">
        <v>493</v>
      </c>
      <c r="AC2" s="174" t="s">
        <v>494</v>
      </c>
      <c r="AD2" s="174" t="s">
        <v>495</v>
      </c>
      <c r="AE2" s="174" t="s">
        <v>496</v>
      </c>
      <c r="AF2" s="174" t="s">
        <v>497</v>
      </c>
      <c r="AG2" s="174" t="s">
        <v>498</v>
      </c>
      <c r="AH2" s="42" t="s">
        <v>499</v>
      </c>
      <c r="AI2" s="159" t="s">
        <v>500</v>
      </c>
      <c r="AJ2" s="84" t="s">
        <v>501</v>
      </c>
      <c r="AK2" s="268" t="s">
        <v>502</v>
      </c>
      <c r="AL2" s="84" t="s">
        <v>503</v>
      </c>
      <c r="AM2" s="184" t="s">
        <v>504</v>
      </c>
      <c r="AN2" s="174" t="s">
        <v>505</v>
      </c>
      <c r="AO2" s="174" t="s">
        <v>506</v>
      </c>
      <c r="AP2" s="174" t="s">
        <v>507</v>
      </c>
    </row>
    <row r="3" spans="1:42" ht="30">
      <c r="A3" s="10" t="s">
        <v>36</v>
      </c>
      <c r="B3" s="176" t="s">
        <v>40</v>
      </c>
      <c r="C3" s="176" t="s">
        <v>228</v>
      </c>
      <c r="D3" s="176" t="s">
        <v>40</v>
      </c>
      <c r="E3" s="176" t="s">
        <v>40</v>
      </c>
      <c r="F3" s="56" t="s">
        <v>40</v>
      </c>
      <c r="G3" s="176" t="s">
        <v>508</v>
      </c>
      <c r="H3" s="56" t="s">
        <v>40</v>
      </c>
      <c r="I3" s="176" t="s">
        <v>40</v>
      </c>
      <c r="J3" s="176" t="s">
        <v>40</v>
      </c>
      <c r="K3" s="176" t="s">
        <v>228</v>
      </c>
      <c r="L3" s="176" t="s">
        <v>40</v>
      </c>
      <c r="M3" s="176" t="s">
        <v>508</v>
      </c>
      <c r="N3" s="176" t="s">
        <v>508</v>
      </c>
      <c r="O3" s="176" t="s">
        <v>228</v>
      </c>
      <c r="P3" s="176" t="s">
        <v>40</v>
      </c>
      <c r="Q3" s="176" t="s">
        <v>508</v>
      </c>
      <c r="R3" s="176" t="s">
        <v>40</v>
      </c>
      <c r="S3" s="25" t="s">
        <v>508</v>
      </c>
      <c r="T3" s="64" t="s">
        <v>238</v>
      </c>
      <c r="U3" s="176" t="s">
        <v>508</v>
      </c>
      <c r="V3" s="176" t="s">
        <v>40</v>
      </c>
      <c r="W3" s="176" t="s">
        <v>508</v>
      </c>
      <c r="X3" s="56" t="s">
        <v>40</v>
      </c>
      <c r="Y3" s="176" t="s">
        <v>228</v>
      </c>
      <c r="Z3" s="176" t="s">
        <v>508</v>
      </c>
      <c r="AA3" s="176" t="s">
        <v>508</v>
      </c>
      <c r="AB3" s="56" t="s">
        <v>40</v>
      </c>
      <c r="AC3" s="113" t="s">
        <v>509</v>
      </c>
      <c r="AD3" s="113" t="s">
        <v>510</v>
      </c>
      <c r="AE3" s="176" t="s">
        <v>228</v>
      </c>
      <c r="AF3" s="113" t="s">
        <v>228</v>
      </c>
      <c r="AG3" s="120" t="s">
        <v>508</v>
      </c>
      <c r="AH3" s="91" t="s">
        <v>511</v>
      </c>
      <c r="AI3" s="176" t="s">
        <v>228</v>
      </c>
      <c r="AJ3" s="91" t="s">
        <v>512</v>
      </c>
      <c r="AK3" s="63" t="s">
        <v>513</v>
      </c>
      <c r="AL3" s="51" t="s">
        <v>234</v>
      </c>
      <c r="AM3" s="11" t="s">
        <v>40</v>
      </c>
      <c r="AN3" s="176" t="s">
        <v>508</v>
      </c>
      <c r="AO3" s="56" t="s">
        <v>514</v>
      </c>
      <c r="AP3" s="64" t="s">
        <v>238</v>
      </c>
    </row>
    <row r="4" spans="1:42">
      <c r="A4" s="10" t="s">
        <v>38</v>
      </c>
      <c r="B4" s="175" t="s">
        <v>241</v>
      </c>
      <c r="C4" s="175" t="s">
        <v>241</v>
      </c>
      <c r="D4" s="175" t="s">
        <v>137</v>
      </c>
      <c r="E4" s="175" t="s">
        <v>241</v>
      </c>
      <c r="F4" s="11" t="s">
        <v>241</v>
      </c>
      <c r="G4" s="175" t="s">
        <v>515</v>
      </c>
      <c r="H4" s="11" t="s">
        <v>241</v>
      </c>
      <c r="I4" s="175" t="s">
        <v>516</v>
      </c>
      <c r="J4" s="175" t="s">
        <v>241</v>
      </c>
      <c r="K4" s="175" t="s">
        <v>241</v>
      </c>
      <c r="L4" s="175" t="s">
        <v>246</v>
      </c>
      <c r="M4" s="175" t="s">
        <v>246</v>
      </c>
      <c r="N4" s="175" t="s">
        <v>517</v>
      </c>
      <c r="O4" s="175" t="s">
        <v>241</v>
      </c>
      <c r="P4" s="175" t="s">
        <v>241</v>
      </c>
      <c r="Q4" s="175" t="s">
        <v>241</v>
      </c>
      <c r="R4" s="175" t="s">
        <v>241</v>
      </c>
      <c r="S4" s="25" t="s">
        <v>241</v>
      </c>
      <c r="T4" s="25" t="s">
        <v>241</v>
      </c>
      <c r="U4" s="175" t="s">
        <v>515</v>
      </c>
      <c r="V4" s="175" t="s">
        <v>137</v>
      </c>
      <c r="W4" s="175" t="s">
        <v>518</v>
      </c>
      <c r="X4" s="11" t="s">
        <v>241</v>
      </c>
      <c r="Y4" s="175" t="s">
        <v>137</v>
      </c>
      <c r="Z4" s="175" t="s">
        <v>137</v>
      </c>
      <c r="AA4" s="175" t="s">
        <v>137</v>
      </c>
      <c r="AB4" s="11" t="s">
        <v>241</v>
      </c>
      <c r="AC4" s="83" t="s">
        <v>137</v>
      </c>
      <c r="AD4" s="83" t="s">
        <v>519</v>
      </c>
      <c r="AE4" s="175" t="s">
        <v>520</v>
      </c>
      <c r="AF4" s="83" t="s">
        <v>520</v>
      </c>
      <c r="AG4" s="91" t="s">
        <v>521</v>
      </c>
      <c r="AH4" s="91" t="s">
        <v>522</v>
      </c>
      <c r="AI4" s="175" t="s">
        <v>241</v>
      </c>
      <c r="AJ4" s="91" t="s">
        <v>241</v>
      </c>
      <c r="AK4" s="25" t="s">
        <v>523</v>
      </c>
      <c r="AL4" s="51" t="s">
        <v>241</v>
      </c>
      <c r="AM4" s="11" t="s">
        <v>241</v>
      </c>
      <c r="AN4" s="175" t="s">
        <v>515</v>
      </c>
      <c r="AO4" s="11" t="s">
        <v>241</v>
      </c>
      <c r="AP4" s="25" t="s">
        <v>241</v>
      </c>
    </row>
    <row r="5" spans="1:42" ht="30">
      <c r="A5" s="10" t="s">
        <v>42</v>
      </c>
      <c r="B5" s="175" t="s">
        <v>524</v>
      </c>
      <c r="C5" s="62" t="s">
        <v>525</v>
      </c>
      <c r="D5" s="175"/>
      <c r="E5" s="175"/>
      <c r="F5" s="11" t="s">
        <v>252</v>
      </c>
      <c r="G5" s="175" t="s">
        <v>524</v>
      </c>
      <c r="H5" s="11" t="s">
        <v>252</v>
      </c>
      <c r="I5" s="175" t="s">
        <v>526</v>
      </c>
      <c r="J5" s="175" t="s">
        <v>524</v>
      </c>
      <c r="K5" s="175" t="s">
        <v>524</v>
      </c>
      <c r="L5" s="175" t="s">
        <v>527</v>
      </c>
      <c r="M5" s="175" t="s">
        <v>528</v>
      </c>
      <c r="N5" s="175" t="s">
        <v>524</v>
      </c>
      <c r="O5" s="62" t="s">
        <v>525</v>
      </c>
      <c r="P5" s="62" t="s">
        <v>525</v>
      </c>
      <c r="Q5" s="175" t="s">
        <v>524</v>
      </c>
      <c r="R5" s="175" t="s">
        <v>524</v>
      </c>
      <c r="S5" s="25" t="s">
        <v>529</v>
      </c>
      <c r="T5" s="50" t="s">
        <v>143</v>
      </c>
      <c r="U5" s="175" t="s">
        <v>527</v>
      </c>
      <c r="V5" s="175" t="s">
        <v>241</v>
      </c>
      <c r="W5" s="175" t="s">
        <v>527</v>
      </c>
      <c r="X5" s="11" t="s">
        <v>252</v>
      </c>
      <c r="Y5" s="175"/>
      <c r="Z5" s="175" t="s">
        <v>241</v>
      </c>
      <c r="AA5" s="175" t="s">
        <v>241</v>
      </c>
      <c r="AB5" s="11" t="s">
        <v>253</v>
      </c>
      <c r="AC5" s="83"/>
      <c r="AD5" s="83"/>
      <c r="AE5" s="62" t="s">
        <v>241</v>
      </c>
      <c r="AF5" s="83" t="s">
        <v>530</v>
      </c>
      <c r="AG5" s="91" t="s">
        <v>531</v>
      </c>
      <c r="AH5" s="91"/>
      <c r="AI5" s="175" t="s">
        <v>253</v>
      </c>
      <c r="AJ5" s="91"/>
      <c r="AK5" s="25" t="s">
        <v>532</v>
      </c>
      <c r="AL5" s="51" t="s">
        <v>137</v>
      </c>
      <c r="AM5" s="11" t="s">
        <v>253</v>
      </c>
      <c r="AN5" s="175" t="s">
        <v>527</v>
      </c>
      <c r="AO5" s="11" t="s">
        <v>252</v>
      </c>
      <c r="AP5" s="50"/>
    </row>
    <row r="6" spans="1:42">
      <c r="A6" s="10" t="s">
        <v>48</v>
      </c>
      <c r="B6" s="175" t="s">
        <v>251</v>
      </c>
      <c r="C6" s="175" t="s">
        <v>251</v>
      </c>
      <c r="D6" s="11" t="s">
        <v>251</v>
      </c>
      <c r="E6" s="11" t="s">
        <v>251</v>
      </c>
      <c r="F6" s="11" t="s">
        <v>524</v>
      </c>
      <c r="G6" s="175" t="s">
        <v>251</v>
      </c>
      <c r="H6" s="11" t="s">
        <v>251</v>
      </c>
      <c r="I6" s="175" t="s">
        <v>524</v>
      </c>
      <c r="J6" s="175" t="s">
        <v>253</v>
      </c>
      <c r="K6" s="175" t="s">
        <v>251</v>
      </c>
      <c r="L6" s="175" t="s">
        <v>251</v>
      </c>
      <c r="M6" s="175" t="s">
        <v>251</v>
      </c>
      <c r="N6" s="175" t="s">
        <v>251</v>
      </c>
      <c r="O6" s="175" t="s">
        <v>252</v>
      </c>
      <c r="P6" s="175" t="s">
        <v>251</v>
      </c>
      <c r="Q6" s="175" t="s">
        <v>251</v>
      </c>
      <c r="R6" s="175" t="s">
        <v>251</v>
      </c>
      <c r="S6" s="91" t="s">
        <v>143</v>
      </c>
      <c r="T6" s="25"/>
      <c r="U6" s="175" t="s">
        <v>251</v>
      </c>
      <c r="V6" s="175" t="s">
        <v>531</v>
      </c>
      <c r="W6" s="175" t="s">
        <v>251</v>
      </c>
      <c r="X6" s="11" t="s">
        <v>527</v>
      </c>
      <c r="Y6" s="175" t="s">
        <v>531</v>
      </c>
      <c r="Z6" s="175" t="s">
        <v>528</v>
      </c>
      <c r="AA6" s="175" t="s">
        <v>528</v>
      </c>
      <c r="AB6" s="11"/>
      <c r="AC6" s="114" t="s">
        <v>251</v>
      </c>
      <c r="AD6" s="83"/>
      <c r="AE6" s="175"/>
      <c r="AF6" s="83" t="s">
        <v>251</v>
      </c>
      <c r="AG6" s="75" t="s">
        <v>251</v>
      </c>
      <c r="AH6" s="91" t="s">
        <v>533</v>
      </c>
      <c r="AI6" s="175"/>
      <c r="AJ6" s="91" t="s">
        <v>533</v>
      </c>
      <c r="AK6" s="25"/>
      <c r="AL6" s="51"/>
      <c r="AM6" s="125"/>
      <c r="AN6" s="175" t="s">
        <v>251</v>
      </c>
      <c r="AO6" s="11"/>
      <c r="AP6" s="25"/>
    </row>
    <row r="7" spans="1:42" ht="15.75" thickBot="1">
      <c r="A7" s="10" t="s">
        <v>534</v>
      </c>
      <c r="B7" s="177"/>
      <c r="C7" s="177"/>
      <c r="D7" s="54"/>
      <c r="E7" s="54"/>
      <c r="F7" s="54" t="s">
        <v>251</v>
      </c>
      <c r="G7" s="177"/>
      <c r="H7" s="54"/>
      <c r="I7" s="177" t="s">
        <v>251</v>
      </c>
      <c r="J7" s="177"/>
      <c r="K7" s="177"/>
      <c r="L7" s="177"/>
      <c r="M7" s="175"/>
      <c r="N7" s="177"/>
      <c r="O7" s="175" t="s">
        <v>251</v>
      </c>
      <c r="P7" s="177"/>
      <c r="Q7" s="177"/>
      <c r="R7" s="177"/>
      <c r="S7" s="91" t="s">
        <v>251</v>
      </c>
      <c r="T7" s="92"/>
      <c r="U7" s="177"/>
      <c r="V7" s="11" t="s">
        <v>251</v>
      </c>
      <c r="W7" s="177"/>
      <c r="X7" s="54" t="s">
        <v>253</v>
      </c>
      <c r="Y7" s="11" t="s">
        <v>251</v>
      </c>
      <c r="Z7" s="175" t="s">
        <v>253</v>
      </c>
      <c r="AA7" s="175" t="s">
        <v>251</v>
      </c>
      <c r="AB7" s="54"/>
      <c r="AC7" s="115"/>
      <c r="AD7" s="114"/>
      <c r="AE7" s="177" t="s">
        <v>251</v>
      </c>
      <c r="AF7" s="71"/>
      <c r="AG7" s="121"/>
      <c r="AH7" s="91"/>
      <c r="AI7" s="91"/>
      <c r="AJ7" s="91"/>
      <c r="AK7" s="66"/>
      <c r="AL7" s="51"/>
      <c r="AM7" s="92"/>
      <c r="AN7" s="177"/>
      <c r="AO7" s="54"/>
      <c r="AP7" s="92"/>
    </row>
    <row r="8" spans="1:42" ht="15.75" thickBot="1">
      <c r="A8" s="100" t="s">
        <v>63</v>
      </c>
      <c r="B8" s="178">
        <v>1330</v>
      </c>
      <c r="C8" s="178">
        <v>2100</v>
      </c>
      <c r="D8" s="178">
        <v>1320</v>
      </c>
      <c r="E8" s="178">
        <v>1310</v>
      </c>
      <c r="F8" s="178">
        <v>1240</v>
      </c>
      <c r="G8" s="178">
        <v>1250</v>
      </c>
      <c r="H8" s="178">
        <v>1240</v>
      </c>
      <c r="I8" s="178">
        <v>1340</v>
      </c>
      <c r="J8" s="178">
        <v>1330</v>
      </c>
      <c r="K8" s="178">
        <v>1330</v>
      </c>
      <c r="L8" s="178">
        <v>1320</v>
      </c>
      <c r="M8" s="106">
        <v>1320</v>
      </c>
      <c r="N8" s="106">
        <v>1250</v>
      </c>
      <c r="O8" s="106">
        <v>2110</v>
      </c>
      <c r="P8" s="106">
        <v>2100</v>
      </c>
      <c r="Q8" s="106">
        <v>1330</v>
      </c>
      <c r="R8" s="178">
        <v>1330</v>
      </c>
      <c r="S8" s="178">
        <v>1330</v>
      </c>
      <c r="T8" s="178">
        <v>1330</v>
      </c>
      <c r="U8" s="106">
        <v>1250</v>
      </c>
      <c r="V8" s="106">
        <v>1320</v>
      </c>
      <c r="W8" s="106">
        <v>1330</v>
      </c>
      <c r="X8" s="106">
        <v>1240</v>
      </c>
      <c r="Y8" s="106">
        <v>1320</v>
      </c>
      <c r="Z8" s="106">
        <v>1320</v>
      </c>
      <c r="AA8" s="106">
        <v>1320</v>
      </c>
      <c r="AB8" s="106"/>
      <c r="AC8" s="106"/>
      <c r="AD8" s="106"/>
      <c r="AE8" s="178"/>
      <c r="AF8" s="106"/>
      <c r="AG8" s="122"/>
      <c r="AH8" s="101"/>
      <c r="AI8" s="101"/>
      <c r="AJ8" s="101"/>
      <c r="AK8" s="99"/>
      <c r="AL8" s="99">
        <v>1100</v>
      </c>
      <c r="AM8" s="101"/>
      <c r="AN8" s="178"/>
      <c r="AO8" s="178">
        <v>1240</v>
      </c>
      <c r="AP8" s="178"/>
    </row>
    <row r="9" spans="1:42">
      <c r="A9" s="260" t="s">
        <v>64</v>
      </c>
      <c r="B9" s="57" t="str">
        <f>INDEX('[1]JIRA-1'!$B:$B,MATCH(B2,'[1]JIRA-1'!$D:$D,0))</f>
        <v>NORDEAML-827</v>
      </c>
      <c r="C9" s="57" t="str">
        <f>INDEX('[1]JIRA-1'!$B:$B,MATCH(C2,'[1]JIRA-1'!$D:$D,0))</f>
        <v>NORDEAML-828</v>
      </c>
      <c r="D9" s="57" t="str">
        <f>INDEX('[1]JIRA-1'!$B:$B,MATCH(D2,'[1]JIRA-1'!$D:$D,0))</f>
        <v>NORDEAML-829</v>
      </c>
      <c r="E9" s="57" t="str">
        <f>INDEX('[1]JIRA-1'!$B:$B,MATCH(E2,'[1]JIRA-1'!$D:$D,0))</f>
        <v>NORDEAML-830</v>
      </c>
      <c r="F9" s="57" t="str">
        <f>INDEX('[1]JIRA-1'!$B:$B,MATCH(F2,'[1]JIRA-1'!$D:$D,0))</f>
        <v>NORDEAML-831</v>
      </c>
      <c r="G9" s="57" t="str">
        <f>INDEX('[1]JIRA-1'!$B:$B,MATCH(G2,'[1]JIRA-1'!$D:$D,0))</f>
        <v>NORDEAML-832</v>
      </c>
      <c r="H9" s="57" t="str">
        <f>INDEX('[1]JIRA-1'!$B:$B,MATCH(H2,'[1]JIRA-1'!$D:$D,0))</f>
        <v>NORDEAML-833</v>
      </c>
      <c r="I9" s="57" t="str">
        <f>INDEX('[1]JIRA-1'!$B:$B,MATCH(I2,'[1]JIRA-1'!$D:$D,0))</f>
        <v>NORDEAML-834</v>
      </c>
      <c r="J9" s="57" t="str">
        <f>INDEX('[1]JIRA-1'!$B:$B,MATCH(J2,'[1]JIRA-1'!$D:$D,0))</f>
        <v>NORDEAML-835</v>
      </c>
      <c r="K9" s="57" t="str">
        <f>INDEX('[1]JIRA-1'!$B:$B,MATCH(K2,'[1]JIRA-1'!$D:$D,0))</f>
        <v>NORDEAML-836</v>
      </c>
      <c r="L9" s="57" t="str">
        <f>INDEX('[1]JIRA-1'!$B:$B,MATCH(L2,'[1]JIRA-1'!$D:$D,0))</f>
        <v>NORDEAML-837</v>
      </c>
      <c r="M9" s="57" t="str">
        <f>INDEX('[1]JIRA-1'!$B:$B,MATCH(M2,'[1]JIRA-1'!$D:$D,0))</f>
        <v>NORDEAML-838</v>
      </c>
      <c r="N9" s="57" t="str">
        <f>INDEX('[1]JIRA-1'!$B:$B,MATCH(N2,'[1]JIRA-1'!$D:$D,0))</f>
        <v>NORDEAML-839</v>
      </c>
      <c r="O9" s="57" t="e">
        <f>INDEX('[1]JIRA-1'!$B:$B,MATCH(O2,'[1]JIRA-1'!$D:$D,0))</f>
        <v>#N/A</v>
      </c>
      <c r="P9" s="57" t="str">
        <f>INDEX('[1]JIRA-1'!$B:$B,MATCH(P2,'[1]JIRA-1'!$D:$D,0))</f>
        <v>NORDEAML-841</v>
      </c>
      <c r="Q9" s="57" t="str">
        <f>INDEX('[1]JIRA-1'!$B:$B,MATCH(Q2,'[1]JIRA-1'!$D:$D,0))</f>
        <v>NORDEAML-842</v>
      </c>
      <c r="R9" s="57" t="str">
        <f>INDEX('[1]JIRA-1'!$B:$B,MATCH(R2,'[1]JIRA-1'!$D:$D,0))</f>
        <v>NORDEAML-880</v>
      </c>
      <c r="S9" s="57" t="str">
        <f>INDEX('[1]JIRA-1'!$B:$B,MATCH(S2,'[1]JIRA-1'!$D:$D,0))</f>
        <v>NORDEAML-846</v>
      </c>
      <c r="T9" s="57" t="str">
        <f>INDEX('[1]JIRA-1'!$B:$B,MATCH(T2,'[1]JIRA-1'!$D:$D,0))</f>
        <v>NORDEAML-847</v>
      </c>
      <c r="U9" s="57" t="str">
        <f>INDEX('[1]JIRA-1'!$B:$B,MATCH(U2,'[1]JIRA-1'!$D:$D,0))</f>
        <v>NORDEAML-848</v>
      </c>
      <c r="V9" s="57" t="str">
        <f>INDEX('[1]JIRA-1'!$B:$B,MATCH(V2,'[1]JIRA-1'!$D:$D,0))</f>
        <v>NORDEAML-849</v>
      </c>
      <c r="W9" s="57" t="str">
        <f>INDEX('[1]JIRA-1'!$B:$B,MATCH(W2,'[1]JIRA-1'!$D:$D,0))</f>
        <v>NORDEAML-850</v>
      </c>
      <c r="X9" s="57" t="str">
        <f>INDEX('[1]JIRA-1'!$B:$B,MATCH(X2,'[1]JIRA-1'!$D:$D,0))</f>
        <v>NORDEAML-851</v>
      </c>
      <c r="Y9" s="57" t="str">
        <f>INDEX('[1]JIRA-1'!$B:$B,MATCH(Y2,'[1]JIRA-1'!$D:$D,0))</f>
        <v>NORDEAML-852</v>
      </c>
      <c r="Z9" s="57" t="str">
        <f>INDEX('[1]JIRA-1'!$B:$B,MATCH(Z2,'[1]JIRA-1'!$D:$D,0))</f>
        <v>NORDEAML-853</v>
      </c>
      <c r="AA9" s="57" t="str">
        <f>INDEX('[1]JIRA-1'!$B:$B,MATCH(AA2,'[1]JIRA-1'!$D:$D,0))</f>
        <v>NORDEAML-854</v>
      </c>
      <c r="AB9" s="57" t="str">
        <f>INDEX('[1]JIRA-1'!$B:$B,MATCH(AB2,'[1]JIRA-1'!$D:$D,0))</f>
        <v>NORDEAML-855</v>
      </c>
      <c r="AC9" s="57" t="str">
        <f>INDEX('[1]JIRA-1'!$B:$B,MATCH(AC2,'[1]JIRA-1'!$D:$D,0))</f>
        <v>NORDEAML-856</v>
      </c>
      <c r="AD9" s="57" t="str">
        <f>INDEX('[1]JIRA-1'!$B:$B,MATCH(AD2,'[1]JIRA-1'!$D:$D,0))</f>
        <v>NORDEAML-857</v>
      </c>
      <c r="AE9" s="57" t="str">
        <f>INDEX('[1]JIRA-1'!$B:$B,MATCH(AE2,'[1]JIRA-1'!$D:$D,0))</f>
        <v>NORDEAML-858</v>
      </c>
      <c r="AF9" s="57" t="str">
        <f>INDEX('[1]JIRA-1'!$B:$B,MATCH(AF2,'[1]JIRA-1'!$D:$D,0))</f>
        <v>NORDEAML-859</v>
      </c>
      <c r="AG9" s="57" t="str">
        <f>INDEX('[1]JIRA-1'!$B:$B,MATCH(AG2,'[1]JIRA-1'!$D:$D,0))</f>
        <v>NORDEAML-860</v>
      </c>
      <c r="AH9" s="57" t="str">
        <f>INDEX('[1]JIRA-1'!$B:$B,MATCH(AH2,'[1]JIRA-1'!$D:$D,0))</f>
        <v>NORDEAML-861</v>
      </c>
      <c r="AI9" s="57" t="str">
        <f>INDEX('[1]JIRA-1'!$B:$B,MATCH(AI2,'[1]JIRA-1'!$D:$D,0))</f>
        <v>NORDEAML-865</v>
      </c>
      <c r="AJ9" s="57" t="str">
        <f>INDEX('[1]JIRA-1'!$B:$B,MATCH(AJ2,'[1]JIRA-1'!$D:$D,0))</f>
        <v>NORDEAML-866</v>
      </c>
      <c r="AK9" s="57" t="str">
        <f>INDEX('[1]JIRA-1'!$B:$B,MATCH(AK2,'[1]JIRA-1'!$D:$D,0))</f>
        <v>NORDEAML-867</v>
      </c>
      <c r="AL9" s="57" t="str">
        <f>INDEX('[1]JIRA-1'!$B:$B,MATCH(AL2,'[1]JIRA-1'!$D:$D,0))</f>
        <v>NORDEAML-868</v>
      </c>
      <c r="AM9" s="57" t="str">
        <f>INDEX('[1]JIRA-1'!$B:$B,MATCH(AM2,'[1]JIRA-1'!$D:$D,0))</f>
        <v>NORDEAML-869</v>
      </c>
      <c r="AN9" s="57" t="str">
        <f>INDEX('[1]JIRA-1'!$B:$B,MATCH(AN2,'[1]JIRA-1'!$D:$D,0))</f>
        <v>NORDEAML-870</v>
      </c>
      <c r="AO9" s="57" t="str">
        <f>INDEX('[1]JIRA-1'!$B:$B,MATCH(AO2,'[1]JIRA-1'!$D:$D,0))</f>
        <v>NORDEAML-871</v>
      </c>
      <c r="AP9" s="57" t="str">
        <f>INDEX('[1]JIRA-1'!$B:$B,MATCH(AP2,'[1]JIRA-1'!$D:$D,0))</f>
        <v>NORDEAML-872</v>
      </c>
    </row>
    <row r="10" spans="1:42">
      <c r="A10" s="260" t="s">
        <v>65</v>
      </c>
      <c r="B10" s="57">
        <f>INDEX('[1]JIRA-1'!$C:$C,MATCH(B2,'[1]JIRA-1'!$D:$D,0))</f>
        <v>12095</v>
      </c>
      <c r="C10" s="57">
        <f>INDEX('[1]JIRA-1'!$C:$C,MATCH(C2,'[1]JIRA-1'!$D:$D,0))</f>
        <v>12096</v>
      </c>
      <c r="D10" s="57">
        <f>INDEX('[1]JIRA-1'!$C:$C,MATCH(D2,'[1]JIRA-1'!$D:$D,0))</f>
        <v>12097</v>
      </c>
      <c r="E10" s="57">
        <f>INDEX('[1]JIRA-1'!$C:$C,MATCH(E2,'[1]JIRA-1'!$D:$D,0))</f>
        <v>12098</v>
      </c>
      <c r="F10" s="57">
        <f>INDEX('[1]JIRA-1'!$C:$C,MATCH(F2,'[1]JIRA-1'!$D:$D,0))</f>
        <v>12099</v>
      </c>
      <c r="G10" s="57">
        <f>INDEX('[1]JIRA-1'!$C:$C,MATCH(G2,'[1]JIRA-1'!$D:$D,0))</f>
        <v>12100</v>
      </c>
      <c r="H10" s="57">
        <f>INDEX('[1]JIRA-1'!$C:$C,MATCH(H2,'[1]JIRA-1'!$D:$D,0))</f>
        <v>12101</v>
      </c>
      <c r="I10" s="57">
        <f>INDEX('[1]JIRA-1'!$C:$C,MATCH(I2,'[1]JIRA-1'!$D:$D,0))</f>
        <v>12102</v>
      </c>
      <c r="J10" s="57">
        <f>INDEX('[1]JIRA-1'!$C:$C,MATCH(J2,'[1]JIRA-1'!$D:$D,0))</f>
        <v>12103</v>
      </c>
      <c r="K10" s="57">
        <f>INDEX('[1]JIRA-1'!$C:$C,MATCH(K2,'[1]JIRA-1'!$D:$D,0))</f>
        <v>12104</v>
      </c>
      <c r="L10" s="57">
        <f>INDEX('[1]JIRA-1'!$C:$C,MATCH(L2,'[1]JIRA-1'!$D:$D,0))</f>
        <v>12105</v>
      </c>
      <c r="M10" s="57">
        <f>INDEX('[1]JIRA-1'!$C:$C,MATCH(M2,'[1]JIRA-1'!$D:$D,0))</f>
        <v>12106</v>
      </c>
      <c r="N10" s="57">
        <f>INDEX('[1]JIRA-1'!$C:$C,MATCH(N2,'[1]JIRA-1'!$D:$D,0))</f>
        <v>12107</v>
      </c>
      <c r="O10" s="57" t="e">
        <f>INDEX('[1]JIRA-1'!$C:$C,MATCH(O2,'[1]JIRA-1'!$D:$D,0))</f>
        <v>#N/A</v>
      </c>
      <c r="P10" s="57">
        <f>INDEX('[1]JIRA-1'!$C:$C,MATCH(P2,'[1]JIRA-1'!$D:$D,0))</f>
        <v>12109</v>
      </c>
      <c r="Q10" s="57">
        <f>INDEX('[1]JIRA-1'!$C:$C,MATCH(Q2,'[1]JIRA-1'!$D:$D,0))</f>
        <v>12110</v>
      </c>
      <c r="R10" s="57">
        <f>INDEX('[1]JIRA-1'!$C:$C,MATCH(R2,'[1]JIRA-1'!$D:$D,0))</f>
        <v>12148</v>
      </c>
      <c r="S10" s="57">
        <f>INDEX('[1]JIRA-1'!$C:$C,MATCH(S2,'[1]JIRA-1'!$D:$D,0))</f>
        <v>12114</v>
      </c>
      <c r="T10" s="57">
        <f>INDEX('[1]JIRA-1'!$C:$C,MATCH(T2,'[1]JIRA-1'!$D:$D,0))</f>
        <v>12115</v>
      </c>
      <c r="U10" s="57">
        <f>INDEX('[1]JIRA-1'!$C:$C,MATCH(U2,'[1]JIRA-1'!$D:$D,0))</f>
        <v>12116</v>
      </c>
      <c r="V10" s="57">
        <f>INDEX('[1]JIRA-1'!$C:$C,MATCH(V2,'[1]JIRA-1'!$D:$D,0))</f>
        <v>12117</v>
      </c>
      <c r="W10" s="57">
        <f>INDEX('[1]JIRA-1'!$C:$C,MATCH(W2,'[1]JIRA-1'!$D:$D,0))</f>
        <v>12118</v>
      </c>
      <c r="X10" s="57">
        <f>INDEX('[1]JIRA-1'!$C:$C,MATCH(X2,'[1]JIRA-1'!$D:$D,0))</f>
        <v>12119</v>
      </c>
      <c r="Y10" s="57">
        <f>INDEX('[1]JIRA-1'!$C:$C,MATCH(Y2,'[1]JIRA-1'!$D:$D,0))</f>
        <v>12120</v>
      </c>
      <c r="Z10" s="57">
        <f>INDEX('[1]JIRA-1'!$C:$C,MATCH(Z2,'[1]JIRA-1'!$D:$D,0))</f>
        <v>12121</v>
      </c>
      <c r="AA10" s="57">
        <f>INDEX('[1]JIRA-1'!$C:$C,MATCH(AA2,'[1]JIRA-1'!$D:$D,0))</f>
        <v>12122</v>
      </c>
      <c r="AB10" s="57">
        <f>INDEX('[1]JIRA-1'!$C:$C,MATCH(AB2,'[1]JIRA-1'!$D:$D,0))</f>
        <v>12123</v>
      </c>
      <c r="AC10" s="57">
        <f>INDEX('[1]JIRA-1'!$C:$C,MATCH(AC2,'[1]JIRA-1'!$D:$D,0))</f>
        <v>12124</v>
      </c>
      <c r="AD10" s="57">
        <f>INDEX('[1]JIRA-1'!$C:$C,MATCH(AD2,'[1]JIRA-1'!$D:$D,0))</f>
        <v>12125</v>
      </c>
      <c r="AE10" s="57">
        <f>INDEX('[1]JIRA-1'!$C:$C,MATCH(AE2,'[1]JIRA-1'!$D:$D,0))</f>
        <v>12126</v>
      </c>
      <c r="AF10" s="57">
        <f>INDEX('[1]JIRA-1'!$C:$C,MATCH(AF2,'[1]JIRA-1'!$D:$D,0))</f>
        <v>12127</v>
      </c>
      <c r="AG10" s="57">
        <f>INDEX('[1]JIRA-1'!$C:$C,MATCH(AG2,'[1]JIRA-1'!$D:$D,0))</f>
        <v>12128</v>
      </c>
      <c r="AH10" s="57">
        <f>INDEX('[1]JIRA-1'!$C:$C,MATCH(AH2,'[1]JIRA-1'!$D:$D,0))</f>
        <v>12129</v>
      </c>
      <c r="AI10" s="57">
        <f>INDEX('[1]JIRA-1'!$C:$C,MATCH(AI2,'[1]JIRA-1'!$D:$D,0))</f>
        <v>12133</v>
      </c>
      <c r="AJ10" s="57">
        <f>INDEX('[1]JIRA-1'!$C:$C,MATCH(AJ2,'[1]JIRA-1'!$D:$D,0))</f>
        <v>12134</v>
      </c>
      <c r="AK10" s="57">
        <f>INDEX('[1]JIRA-1'!$C:$C,MATCH(AK2,'[1]JIRA-1'!$D:$D,0))</f>
        <v>12135</v>
      </c>
      <c r="AL10" s="57">
        <f>INDEX('[1]JIRA-1'!$C:$C,MATCH(AL2,'[1]JIRA-1'!$D:$D,0))</f>
        <v>12136</v>
      </c>
      <c r="AM10" s="57">
        <f>INDEX('[1]JIRA-1'!$C:$C,MATCH(AM2,'[1]JIRA-1'!$D:$D,0))</f>
        <v>12137</v>
      </c>
      <c r="AN10" s="57">
        <f>INDEX('[1]JIRA-1'!$C:$C,MATCH(AN2,'[1]JIRA-1'!$D:$D,0))</f>
        <v>12138</v>
      </c>
      <c r="AO10" s="57">
        <f>INDEX('[1]JIRA-1'!$C:$C,MATCH(AO2,'[1]JIRA-1'!$D:$D,0))</f>
        <v>12139</v>
      </c>
      <c r="AP10" s="57">
        <f>INDEX('[1]JIRA-1'!$C:$C,MATCH(AP2,'[1]JIRA-1'!$D:$D,0))</f>
        <v>12140</v>
      </c>
    </row>
    <row r="11" spans="1:42">
      <c r="A11" s="260" t="s">
        <v>66</v>
      </c>
      <c r="B11" s="57" t="s">
        <v>67</v>
      </c>
      <c r="C11" s="57" t="s">
        <v>535</v>
      </c>
      <c r="D11" s="57" t="s">
        <v>536</v>
      </c>
      <c r="E11" s="57" t="s">
        <v>536</v>
      </c>
      <c r="F11" s="57" t="s">
        <v>67</v>
      </c>
      <c r="G11" s="57" t="s">
        <v>67</v>
      </c>
      <c r="H11" s="57" t="s">
        <v>536</v>
      </c>
      <c r="I11" s="57" t="s">
        <v>537</v>
      </c>
      <c r="J11" s="57" t="s">
        <v>67</v>
      </c>
      <c r="K11" s="57" t="s">
        <v>67</v>
      </c>
      <c r="L11" s="57" t="s">
        <v>538</v>
      </c>
      <c r="M11" s="57" t="s">
        <v>67</v>
      </c>
      <c r="N11" s="238" t="s">
        <v>67</v>
      </c>
      <c r="O11" s="57" t="s">
        <v>535</v>
      </c>
      <c r="P11" s="57" t="s">
        <v>535</v>
      </c>
      <c r="Q11" s="238" t="s">
        <v>67</v>
      </c>
      <c r="R11" s="238" t="s">
        <v>67</v>
      </c>
      <c r="S11" s="57" t="s">
        <v>67</v>
      </c>
      <c r="T11" s="57" t="s">
        <v>539</v>
      </c>
      <c r="U11" s="238" t="s">
        <v>538</v>
      </c>
      <c r="V11" s="238" t="s">
        <v>67</v>
      </c>
      <c r="W11" s="238" t="s">
        <v>538</v>
      </c>
      <c r="X11" s="238" t="s">
        <v>538</v>
      </c>
      <c r="Y11" s="238" t="s">
        <v>67</v>
      </c>
      <c r="Z11" s="238" t="s">
        <v>67</v>
      </c>
      <c r="AA11" s="238" t="s">
        <v>67</v>
      </c>
      <c r="AB11" s="238" t="s">
        <v>536</v>
      </c>
      <c r="AC11" s="238" t="s">
        <v>536</v>
      </c>
      <c r="AD11" s="238" t="s">
        <v>536</v>
      </c>
      <c r="AE11" s="238" t="s">
        <v>536</v>
      </c>
      <c r="AF11" s="238" t="s">
        <v>539</v>
      </c>
      <c r="AG11" s="53" t="s">
        <v>67</v>
      </c>
      <c r="AH11" s="57" t="s">
        <v>539</v>
      </c>
      <c r="AI11" s="239" t="s">
        <v>539</v>
      </c>
      <c r="AJ11" s="239" t="s">
        <v>539</v>
      </c>
      <c r="AK11" s="57" t="s">
        <v>539</v>
      </c>
      <c r="AL11" s="239" t="s">
        <v>539</v>
      </c>
      <c r="AM11" s="57" t="s">
        <v>539</v>
      </c>
      <c r="AN11" s="57" t="s">
        <v>539</v>
      </c>
      <c r="AO11" s="57" t="s">
        <v>539</v>
      </c>
      <c r="AP11" s="57" t="s">
        <v>539</v>
      </c>
    </row>
    <row r="12" spans="1:42">
      <c r="A12" s="260" t="s">
        <v>66</v>
      </c>
      <c r="B12" s="57" t="s">
        <v>307</v>
      </c>
      <c r="C12" s="57" t="s">
        <v>307</v>
      </c>
      <c r="D12" s="57" t="s">
        <v>308</v>
      </c>
      <c r="E12" s="57" t="s">
        <v>307</v>
      </c>
      <c r="F12" s="57" t="s">
        <v>307</v>
      </c>
      <c r="G12" s="57" t="s">
        <v>540</v>
      </c>
      <c r="H12" s="57" t="s">
        <v>307</v>
      </c>
      <c r="I12" s="57"/>
      <c r="J12" s="57" t="s">
        <v>307</v>
      </c>
      <c r="K12" s="57" t="s">
        <v>307</v>
      </c>
      <c r="L12" s="57" t="s">
        <v>308</v>
      </c>
      <c r="M12" s="57" t="s">
        <v>308</v>
      </c>
      <c r="N12" s="238" t="s">
        <v>541</v>
      </c>
      <c r="O12" s="57" t="s">
        <v>307</v>
      </c>
      <c r="P12" s="57" t="s">
        <v>307</v>
      </c>
      <c r="Q12" s="238" t="s">
        <v>307</v>
      </c>
      <c r="R12" s="238" t="s">
        <v>307</v>
      </c>
      <c r="S12" s="57" t="s">
        <v>542</v>
      </c>
      <c r="T12" s="240" t="s">
        <v>78</v>
      </c>
      <c r="U12" s="238" t="s">
        <v>543</v>
      </c>
      <c r="V12" s="238" t="s">
        <v>308</v>
      </c>
      <c r="W12" s="238" t="s">
        <v>541</v>
      </c>
      <c r="X12" s="238" t="s">
        <v>307</v>
      </c>
      <c r="Y12" s="238" t="s">
        <v>308</v>
      </c>
      <c r="Z12" s="238" t="s">
        <v>308</v>
      </c>
      <c r="AA12" s="238" t="s">
        <v>308</v>
      </c>
      <c r="AB12" s="238" t="s">
        <v>307</v>
      </c>
      <c r="AC12" s="238" t="s">
        <v>308</v>
      </c>
      <c r="AD12" s="238" t="s">
        <v>544</v>
      </c>
      <c r="AE12" s="57" t="s">
        <v>545</v>
      </c>
      <c r="AF12" s="240" t="s">
        <v>78</v>
      </c>
      <c r="AG12" s="238" t="s">
        <v>546</v>
      </c>
      <c r="AH12" s="57"/>
      <c r="AI12" s="239"/>
      <c r="AJ12" s="239"/>
      <c r="AK12" s="11"/>
      <c r="AL12" s="175"/>
      <c r="AM12" s="57"/>
      <c r="AN12" s="57"/>
      <c r="AO12" s="57"/>
      <c r="AP12" s="57"/>
    </row>
    <row r="13" spans="1:42">
      <c r="A13" s="260" t="s">
        <v>66</v>
      </c>
      <c r="B13" s="57"/>
      <c r="C13" s="57"/>
      <c r="D13" s="57"/>
      <c r="E13" s="57"/>
      <c r="F13" s="57" t="s">
        <v>547</v>
      </c>
      <c r="G13" s="57"/>
      <c r="H13" s="57" t="s">
        <v>547</v>
      </c>
      <c r="I13" s="57"/>
      <c r="J13" s="57"/>
      <c r="K13" s="57"/>
      <c r="L13" s="57"/>
      <c r="M13" s="238"/>
      <c r="N13" s="238"/>
      <c r="O13" s="57" t="s">
        <v>547</v>
      </c>
      <c r="P13" s="57" t="s">
        <v>547</v>
      </c>
      <c r="Q13" s="238"/>
      <c r="R13" s="57"/>
      <c r="S13" s="240" t="s">
        <v>78</v>
      </c>
      <c r="T13" s="57"/>
      <c r="U13" s="238"/>
      <c r="V13" s="238"/>
      <c r="W13" s="238"/>
      <c r="X13" s="238" t="s">
        <v>547</v>
      </c>
      <c r="Y13" s="238"/>
      <c r="Z13" s="238" t="s">
        <v>253</v>
      </c>
      <c r="AA13" s="238"/>
      <c r="AB13" s="238" t="s">
        <v>253</v>
      </c>
      <c r="AC13" s="238"/>
      <c r="AD13" s="240" t="s">
        <v>78</v>
      </c>
      <c r="AE13" s="57"/>
      <c r="AF13" s="238"/>
      <c r="AG13" s="53"/>
      <c r="AH13" s="57"/>
      <c r="AI13" s="239" t="s">
        <v>253</v>
      </c>
      <c r="AJ13" s="239"/>
      <c r="AK13" s="11"/>
      <c r="AL13" s="175"/>
      <c r="AM13" s="57" t="s">
        <v>253</v>
      </c>
      <c r="AN13" s="57"/>
      <c r="AO13" s="57"/>
      <c r="AP13" s="57"/>
    </row>
    <row r="14" spans="1:42">
      <c r="A14" s="260" t="s">
        <v>66</v>
      </c>
      <c r="B14" s="57"/>
      <c r="C14" s="57"/>
      <c r="D14" s="57"/>
      <c r="E14" s="57"/>
      <c r="F14" s="57"/>
      <c r="G14" s="57"/>
      <c r="H14" s="57"/>
      <c r="I14" s="57"/>
      <c r="J14" s="57"/>
      <c r="K14" s="57"/>
      <c r="L14" s="57"/>
      <c r="M14" s="238"/>
      <c r="N14" s="238"/>
      <c r="O14" s="57"/>
      <c r="P14" s="57"/>
      <c r="Q14" s="238"/>
      <c r="R14" s="57"/>
      <c r="S14" s="57"/>
      <c r="T14" s="57"/>
      <c r="U14" s="238"/>
      <c r="V14" s="238"/>
      <c r="W14" s="238"/>
      <c r="X14" s="238" t="s">
        <v>253</v>
      </c>
      <c r="Y14" s="238"/>
      <c r="Z14" s="238"/>
      <c r="AA14" s="238"/>
      <c r="AB14" s="238"/>
      <c r="AC14" s="238"/>
      <c r="AD14" s="238"/>
      <c r="AE14" s="57"/>
      <c r="AF14" s="238"/>
      <c r="AG14" s="240" t="s">
        <v>78</v>
      </c>
      <c r="AH14" s="57"/>
      <c r="AI14" s="239"/>
      <c r="AJ14" s="239"/>
      <c r="AK14" s="11"/>
      <c r="AL14" s="175"/>
      <c r="AM14" s="57"/>
      <c r="AN14" s="57"/>
      <c r="AO14" s="57"/>
      <c r="AP14" s="57"/>
    </row>
    <row r="15" spans="1:42" s="263" customFormat="1" ht="14.25">
      <c r="A15" s="262" t="s">
        <v>79</v>
      </c>
      <c r="B15" s="263" t="s">
        <v>548</v>
      </c>
      <c r="C15" s="263" t="s">
        <v>548</v>
      </c>
      <c r="D15" s="263" t="s">
        <v>548</v>
      </c>
      <c r="E15" s="263" t="s">
        <v>548</v>
      </c>
      <c r="F15" s="263" t="s">
        <v>548</v>
      </c>
      <c r="G15" s="263" t="s">
        <v>549</v>
      </c>
      <c r="H15" s="263" t="s">
        <v>548</v>
      </c>
      <c r="I15" s="263" t="s">
        <v>548</v>
      </c>
      <c r="J15" s="263" t="s">
        <v>548</v>
      </c>
      <c r="K15" s="263" t="s">
        <v>548</v>
      </c>
      <c r="L15" s="263" t="s">
        <v>550</v>
      </c>
      <c r="M15" s="263" t="s">
        <v>548</v>
      </c>
      <c r="N15" s="263" t="s">
        <v>548</v>
      </c>
      <c r="O15" s="263" t="s">
        <v>548</v>
      </c>
      <c r="P15" s="263" t="s">
        <v>548</v>
      </c>
      <c r="Q15" s="263" t="s">
        <v>548</v>
      </c>
      <c r="R15" s="263" t="s">
        <v>548</v>
      </c>
      <c r="S15" s="263" t="s">
        <v>551</v>
      </c>
      <c r="U15" s="263" t="s">
        <v>552</v>
      </c>
      <c r="V15" s="263" t="s">
        <v>548</v>
      </c>
      <c r="W15" s="263" t="s">
        <v>550</v>
      </c>
      <c r="X15" s="263" t="s">
        <v>550</v>
      </c>
      <c r="Y15" s="263" t="s">
        <v>548</v>
      </c>
      <c r="Z15" s="263" t="s">
        <v>548</v>
      </c>
      <c r="AA15" s="263" t="s">
        <v>548</v>
      </c>
      <c r="AB15" s="263" t="s">
        <v>548</v>
      </c>
      <c r="AC15" s="263" t="s">
        <v>548</v>
      </c>
      <c r="AD15" s="263" t="s">
        <v>553</v>
      </c>
      <c r="AE15" s="263" t="s">
        <v>548</v>
      </c>
      <c r="AF15" s="263" t="s">
        <v>554</v>
      </c>
      <c r="AG15" s="263" t="s">
        <v>548</v>
      </c>
    </row>
    <row r="16" spans="1:42" outlineLevel="1">
      <c r="A16" s="136" t="s">
        <v>81</v>
      </c>
      <c r="B16" s="139" t="s">
        <v>318</v>
      </c>
      <c r="C16" s="179" t="s">
        <v>555</v>
      </c>
      <c r="D16" s="139" t="s">
        <v>318</v>
      </c>
      <c r="E16" s="179" t="s">
        <v>318</v>
      </c>
      <c r="F16" s="139" t="s">
        <v>318</v>
      </c>
      <c r="G16" s="179" t="s">
        <v>318</v>
      </c>
      <c r="H16" s="139" t="s">
        <v>318</v>
      </c>
      <c r="I16" s="179" t="s">
        <v>318</v>
      </c>
      <c r="J16" s="139" t="s">
        <v>318</v>
      </c>
      <c r="K16" s="179" t="s">
        <v>318</v>
      </c>
      <c r="L16" s="139" t="s">
        <v>318</v>
      </c>
      <c r="M16" s="179" t="s">
        <v>318</v>
      </c>
      <c r="N16" s="139" t="s">
        <v>318</v>
      </c>
      <c r="O16" s="179" t="s">
        <v>555</v>
      </c>
      <c r="P16" s="139" t="s">
        <v>318</v>
      </c>
      <c r="Q16" s="179" t="s">
        <v>318</v>
      </c>
      <c r="R16" s="139" t="s">
        <v>318</v>
      </c>
      <c r="S16" s="179" t="s">
        <v>318</v>
      </c>
      <c r="T16" s="139" t="s">
        <v>318</v>
      </c>
      <c r="U16" s="179" t="s">
        <v>318</v>
      </c>
      <c r="V16" s="139" t="s">
        <v>318</v>
      </c>
      <c r="W16" s="179" t="s">
        <v>318</v>
      </c>
      <c r="X16" s="139" t="s">
        <v>318</v>
      </c>
      <c r="Y16" s="179" t="s">
        <v>318</v>
      </c>
      <c r="Z16" s="139" t="s">
        <v>318</v>
      </c>
      <c r="AA16" s="179" t="s">
        <v>318</v>
      </c>
      <c r="AB16" s="139" t="s">
        <v>318</v>
      </c>
      <c r="AC16" s="179" t="s">
        <v>318</v>
      </c>
      <c r="AD16" s="139" t="s">
        <v>318</v>
      </c>
      <c r="AE16" s="179" t="s">
        <v>318</v>
      </c>
      <c r="AF16" s="139" t="s">
        <v>318</v>
      </c>
      <c r="AG16" s="179" t="s">
        <v>318</v>
      </c>
      <c r="AH16" s="139" t="s">
        <v>318</v>
      </c>
      <c r="AI16" s="179" t="s">
        <v>318</v>
      </c>
      <c r="AJ16" s="179" t="s">
        <v>318</v>
      </c>
      <c r="AK16" s="139" t="s">
        <v>318</v>
      </c>
      <c r="AL16" s="179" t="s">
        <v>318</v>
      </c>
      <c r="AM16" s="139" t="s">
        <v>318</v>
      </c>
      <c r="AN16" s="179" t="s">
        <v>318</v>
      </c>
      <c r="AO16" s="139" t="s">
        <v>318</v>
      </c>
      <c r="AP16" s="139" t="s">
        <v>318</v>
      </c>
    </row>
    <row r="17" spans="1:44" outlineLevel="1">
      <c r="A17" s="97"/>
      <c r="B17" s="140" t="s">
        <v>556</v>
      </c>
      <c r="C17" s="180" t="s">
        <v>557</v>
      </c>
      <c r="D17" s="140" t="s">
        <v>558</v>
      </c>
      <c r="E17" s="180" t="s">
        <v>559</v>
      </c>
      <c r="F17" s="140" t="s">
        <v>560</v>
      </c>
      <c r="G17" s="180" t="s">
        <v>561</v>
      </c>
      <c r="H17" s="140" t="s">
        <v>560</v>
      </c>
      <c r="I17" s="180" t="s">
        <v>562</v>
      </c>
      <c r="J17" s="140" t="s">
        <v>556</v>
      </c>
      <c r="K17" s="180" t="s">
        <v>556</v>
      </c>
      <c r="L17" s="140" t="s">
        <v>558</v>
      </c>
      <c r="M17" s="180" t="s">
        <v>558</v>
      </c>
      <c r="N17" s="140" t="s">
        <v>561</v>
      </c>
      <c r="O17" s="180" t="s">
        <v>563</v>
      </c>
      <c r="P17" s="140" t="s">
        <v>557</v>
      </c>
      <c r="Q17" s="180" t="s">
        <v>556</v>
      </c>
      <c r="R17" s="140" t="s">
        <v>556</v>
      </c>
      <c r="S17" s="180" t="s">
        <v>556</v>
      </c>
      <c r="T17" s="140" t="s">
        <v>556</v>
      </c>
      <c r="U17" s="180" t="s">
        <v>561</v>
      </c>
      <c r="V17" s="140" t="s">
        <v>558</v>
      </c>
      <c r="W17" s="180" t="s">
        <v>556</v>
      </c>
      <c r="X17" s="140" t="s">
        <v>560</v>
      </c>
      <c r="Y17" s="180" t="s">
        <v>558</v>
      </c>
      <c r="Z17" s="140" t="s">
        <v>558</v>
      </c>
      <c r="AA17" s="180" t="s">
        <v>558</v>
      </c>
      <c r="AB17" s="140" t="s">
        <v>559</v>
      </c>
      <c r="AC17" s="140" t="s">
        <v>558</v>
      </c>
      <c r="AD17" s="140" t="s">
        <v>559</v>
      </c>
      <c r="AE17" s="140" t="s">
        <v>559</v>
      </c>
      <c r="AF17" s="140" t="s">
        <v>559</v>
      </c>
      <c r="AG17" s="180" t="s">
        <v>564</v>
      </c>
      <c r="AH17" s="140" t="s">
        <v>559</v>
      </c>
      <c r="AI17" s="140" t="s">
        <v>559</v>
      </c>
      <c r="AJ17" s="140" t="s">
        <v>559</v>
      </c>
      <c r="AK17" s="140" t="s">
        <v>559</v>
      </c>
      <c r="AL17" s="180" t="s">
        <v>319</v>
      </c>
      <c r="AM17" s="140" t="s">
        <v>559</v>
      </c>
      <c r="AN17" s="180" t="s">
        <v>556</v>
      </c>
      <c r="AO17" s="140" t="s">
        <v>560</v>
      </c>
      <c r="AP17" s="140" t="s">
        <v>565</v>
      </c>
      <c r="AQ17" s="7"/>
      <c r="AR17" s="7"/>
    </row>
    <row r="18" spans="1:44" s="7" customFormat="1" outlineLevel="1">
      <c r="A18" s="14"/>
      <c r="B18" s="116" t="s">
        <v>83</v>
      </c>
      <c r="C18" s="116" t="s">
        <v>83</v>
      </c>
      <c r="D18" s="116" t="s">
        <v>83</v>
      </c>
      <c r="E18" s="116" t="s">
        <v>83</v>
      </c>
      <c r="F18" s="116" t="s">
        <v>83</v>
      </c>
      <c r="G18" s="116" t="s">
        <v>83</v>
      </c>
      <c r="H18" s="116" t="s">
        <v>83</v>
      </c>
      <c r="I18" s="116" t="s">
        <v>83</v>
      </c>
      <c r="J18" s="116" t="s">
        <v>83</v>
      </c>
      <c r="K18" s="116" t="s">
        <v>83</v>
      </c>
      <c r="L18" s="116" t="s">
        <v>83</v>
      </c>
      <c r="M18" s="116" t="s">
        <v>83</v>
      </c>
      <c r="N18" s="116" t="s">
        <v>83</v>
      </c>
      <c r="O18" s="116" t="s">
        <v>83</v>
      </c>
      <c r="P18" s="116" t="s">
        <v>83</v>
      </c>
      <c r="Q18" s="116" t="s">
        <v>83</v>
      </c>
      <c r="R18" s="116" t="s">
        <v>83</v>
      </c>
      <c r="S18" s="116" t="s">
        <v>83</v>
      </c>
      <c r="T18" s="116" t="s">
        <v>83</v>
      </c>
      <c r="U18" s="116" t="s">
        <v>83</v>
      </c>
      <c r="V18" s="116" t="s">
        <v>83</v>
      </c>
      <c r="W18" s="116" t="s">
        <v>83</v>
      </c>
      <c r="X18" s="116" t="s">
        <v>83</v>
      </c>
      <c r="Y18" s="116" t="s">
        <v>83</v>
      </c>
      <c r="Z18" s="116" t="s">
        <v>83</v>
      </c>
      <c r="AA18" s="116" t="s">
        <v>83</v>
      </c>
      <c r="AB18" s="116" t="s">
        <v>83</v>
      </c>
      <c r="AC18" s="77" t="s">
        <v>83</v>
      </c>
      <c r="AD18" s="77" t="s">
        <v>83</v>
      </c>
      <c r="AE18" s="118" t="s">
        <v>83</v>
      </c>
      <c r="AF18" s="77" t="s">
        <v>83</v>
      </c>
      <c r="AG18" s="118" t="s">
        <v>83</v>
      </c>
      <c r="AH18" s="116" t="s">
        <v>83</v>
      </c>
      <c r="AI18" s="116" t="s">
        <v>83</v>
      </c>
      <c r="AJ18" s="116" t="s">
        <v>83</v>
      </c>
      <c r="AK18" s="116" t="s">
        <v>83</v>
      </c>
      <c r="AL18" s="116" t="s">
        <v>83</v>
      </c>
      <c r="AM18" s="116" t="s">
        <v>83</v>
      </c>
      <c r="AN18" s="116" t="s">
        <v>83</v>
      </c>
      <c r="AO18" s="116" t="s">
        <v>83</v>
      </c>
      <c r="AP18" s="116" t="s">
        <v>83</v>
      </c>
      <c r="AQ18"/>
      <c r="AR18"/>
    </row>
    <row r="19" spans="1:44" ht="90" outlineLevel="1">
      <c r="A19" s="5" t="s">
        <v>84</v>
      </c>
      <c r="B19" s="169" t="s">
        <v>566</v>
      </c>
      <c r="C19" s="169" t="s">
        <v>567</v>
      </c>
      <c r="D19" s="169" t="s">
        <v>568</v>
      </c>
      <c r="E19" s="169" t="s">
        <v>566</v>
      </c>
      <c r="F19" s="169" t="s">
        <v>569</v>
      </c>
      <c r="G19" s="169" t="s">
        <v>570</v>
      </c>
      <c r="H19" s="169" t="s">
        <v>569</v>
      </c>
      <c r="I19" s="169" t="s">
        <v>571</v>
      </c>
      <c r="J19" s="169" t="s">
        <v>566</v>
      </c>
      <c r="K19" s="169" t="s">
        <v>566</v>
      </c>
      <c r="L19" s="169" t="s">
        <v>572</v>
      </c>
      <c r="M19" s="169" t="s">
        <v>573</v>
      </c>
      <c r="N19" s="169" t="s">
        <v>574</v>
      </c>
      <c r="O19" s="169" t="s">
        <v>566</v>
      </c>
      <c r="P19" s="169" t="s">
        <v>569</v>
      </c>
      <c r="Q19" s="169" t="s">
        <v>566</v>
      </c>
      <c r="R19" s="169" t="s">
        <v>566</v>
      </c>
      <c r="S19" s="169" t="s">
        <v>575</v>
      </c>
      <c r="T19" s="169" t="s">
        <v>576</v>
      </c>
      <c r="U19" s="169" t="s">
        <v>570</v>
      </c>
      <c r="V19" s="169" t="s">
        <v>577</v>
      </c>
      <c r="W19" s="169" t="s">
        <v>574</v>
      </c>
      <c r="X19" s="169" t="s">
        <v>569</v>
      </c>
      <c r="Y19" s="169" t="s">
        <v>577</v>
      </c>
      <c r="Z19" s="169" t="s">
        <v>573</v>
      </c>
      <c r="AA19" s="169" t="s">
        <v>573</v>
      </c>
      <c r="AB19" s="169" t="s">
        <v>566</v>
      </c>
      <c r="AC19" s="169" t="s">
        <v>577</v>
      </c>
      <c r="AD19" s="169" t="s">
        <v>570</v>
      </c>
      <c r="AE19" s="169" t="s">
        <v>578</v>
      </c>
      <c r="AF19" s="169" t="s">
        <v>574</v>
      </c>
      <c r="AG19" s="169" t="s">
        <v>579</v>
      </c>
      <c r="AH19" s="169" t="s">
        <v>580</v>
      </c>
      <c r="AI19" s="169" t="s">
        <v>581</v>
      </c>
      <c r="AJ19" s="169" t="s">
        <v>582</v>
      </c>
      <c r="AK19" s="169" t="s">
        <v>576</v>
      </c>
      <c r="AL19" s="169" t="s">
        <v>583</v>
      </c>
      <c r="AM19" s="169" t="s">
        <v>581</v>
      </c>
      <c r="AN19" s="169" t="s">
        <v>570</v>
      </c>
      <c r="AO19" s="169" t="s">
        <v>584</v>
      </c>
      <c r="AP19" s="169" t="s">
        <v>576</v>
      </c>
      <c r="AQ19" s="49"/>
      <c r="AR19" s="49"/>
    </row>
    <row r="20" spans="1:44" s="49" customFormat="1" ht="60" outlineLevel="1">
      <c r="A20"/>
      <c r="B20" s="60" t="s">
        <v>89</v>
      </c>
      <c r="C20" s="60" t="s">
        <v>585</v>
      </c>
      <c r="D20" s="60" t="s">
        <v>89</v>
      </c>
      <c r="E20" s="60" t="s">
        <v>89</v>
      </c>
      <c r="F20" s="60" t="s">
        <v>89</v>
      </c>
      <c r="G20" s="60" t="s">
        <v>585</v>
      </c>
      <c r="H20" s="60" t="s">
        <v>89</v>
      </c>
      <c r="I20" s="60" t="s">
        <v>89</v>
      </c>
      <c r="J20" s="60" t="s">
        <v>89</v>
      </c>
      <c r="K20" s="60" t="s">
        <v>585</v>
      </c>
      <c r="L20" s="60" t="s">
        <v>89</v>
      </c>
      <c r="M20" s="60" t="s">
        <v>585</v>
      </c>
      <c r="N20" s="60" t="s">
        <v>585</v>
      </c>
      <c r="O20" s="60" t="s">
        <v>585</v>
      </c>
      <c r="P20" s="60" t="s">
        <v>586</v>
      </c>
      <c r="Q20" s="60" t="s">
        <v>585</v>
      </c>
      <c r="R20" s="60" t="s">
        <v>329</v>
      </c>
      <c r="S20" s="60" t="s">
        <v>328</v>
      </c>
      <c r="T20" s="60" t="s">
        <v>337</v>
      </c>
      <c r="U20" s="60" t="s">
        <v>585</v>
      </c>
      <c r="V20" s="60" t="s">
        <v>89</v>
      </c>
      <c r="W20" s="60" t="s">
        <v>585</v>
      </c>
      <c r="X20" s="60" t="s">
        <v>89</v>
      </c>
      <c r="Y20" s="60" t="s">
        <v>585</v>
      </c>
      <c r="Z20" s="60" t="s">
        <v>585</v>
      </c>
      <c r="AA20" s="60" t="s">
        <v>585</v>
      </c>
      <c r="AB20" s="60" t="s">
        <v>89</v>
      </c>
      <c r="AC20" s="19" t="s">
        <v>585</v>
      </c>
      <c r="AD20" s="19" t="s">
        <v>89</v>
      </c>
      <c r="AE20" s="60" t="s">
        <v>585</v>
      </c>
      <c r="AF20" s="19" t="s">
        <v>585</v>
      </c>
      <c r="AG20" s="68" t="s">
        <v>585</v>
      </c>
      <c r="AH20" s="60" t="s">
        <v>587</v>
      </c>
      <c r="AI20" s="123" t="s">
        <v>328</v>
      </c>
      <c r="AJ20" s="60" t="s">
        <v>329</v>
      </c>
      <c r="AK20" s="60" t="s">
        <v>334</v>
      </c>
      <c r="AL20" s="60" t="s">
        <v>328</v>
      </c>
      <c r="AM20" s="124" t="s">
        <v>329</v>
      </c>
      <c r="AN20" s="60" t="s">
        <v>585</v>
      </c>
      <c r="AO20" s="60" t="s">
        <v>588</v>
      </c>
      <c r="AP20" s="60" t="s">
        <v>337</v>
      </c>
      <c r="AQ20"/>
      <c r="AR20"/>
    </row>
    <row r="21" spans="1:44" ht="165" outlineLevel="1">
      <c r="A21" s="6"/>
      <c r="B21" s="60" t="s">
        <v>589</v>
      </c>
      <c r="C21" s="60" t="s">
        <v>590</v>
      </c>
      <c r="D21" s="60" t="s">
        <v>591</v>
      </c>
      <c r="E21" s="60" t="s">
        <v>592</v>
      </c>
      <c r="F21" s="60" t="s">
        <v>593</v>
      </c>
      <c r="G21" s="60" t="s">
        <v>594</v>
      </c>
      <c r="H21" s="60" t="s">
        <v>593</v>
      </c>
      <c r="I21" s="60" t="s">
        <v>595</v>
      </c>
      <c r="J21" s="60" t="s">
        <v>596</v>
      </c>
      <c r="K21" s="60" t="s">
        <v>597</v>
      </c>
      <c r="L21" s="60" t="s">
        <v>598</v>
      </c>
      <c r="M21" s="60" t="s">
        <v>599</v>
      </c>
      <c r="N21" s="60" t="s">
        <v>362</v>
      </c>
      <c r="O21" s="60" t="s">
        <v>600</v>
      </c>
      <c r="P21" s="60" t="s">
        <v>601</v>
      </c>
      <c r="Q21" s="60" t="s">
        <v>602</v>
      </c>
      <c r="R21" s="60" t="s">
        <v>595</v>
      </c>
      <c r="S21" s="60" t="s">
        <v>603</v>
      </c>
      <c r="T21" s="60" t="s">
        <v>604</v>
      </c>
      <c r="U21" s="60" t="s">
        <v>594</v>
      </c>
      <c r="V21" s="60" t="s">
        <v>605</v>
      </c>
      <c r="W21" s="60" t="s">
        <v>362</v>
      </c>
      <c r="X21" s="60" t="s">
        <v>606</v>
      </c>
      <c r="Y21" s="60" t="s">
        <v>607</v>
      </c>
      <c r="Z21" s="60" t="s">
        <v>608</v>
      </c>
      <c r="AA21" s="60" t="s">
        <v>609</v>
      </c>
      <c r="AB21" s="60" t="s">
        <v>596</v>
      </c>
      <c r="AC21" s="19" t="s">
        <v>610</v>
      </c>
      <c r="AD21" s="19" t="s">
        <v>611</v>
      </c>
      <c r="AE21" s="60" t="s">
        <v>362</v>
      </c>
      <c r="AF21" s="19" t="s">
        <v>612</v>
      </c>
      <c r="AG21" s="60" t="s">
        <v>613</v>
      </c>
      <c r="AH21" s="60" t="s">
        <v>614</v>
      </c>
      <c r="AI21" s="123" t="s">
        <v>615</v>
      </c>
      <c r="AJ21" s="60" t="s">
        <v>348</v>
      </c>
      <c r="AK21" s="60" t="s">
        <v>616</v>
      </c>
      <c r="AL21" s="60" t="s">
        <v>617</v>
      </c>
      <c r="AM21" s="124" t="s">
        <v>363</v>
      </c>
      <c r="AN21" s="60" t="s">
        <v>594</v>
      </c>
      <c r="AO21" s="60" t="s">
        <v>618</v>
      </c>
      <c r="AP21" s="60" t="s">
        <v>619</v>
      </c>
    </row>
    <row r="22" spans="1:44" ht="135" outlineLevel="1">
      <c r="A22" s="6"/>
      <c r="B22" s="60" t="s">
        <v>620</v>
      </c>
      <c r="C22" s="60" t="s">
        <v>621</v>
      </c>
      <c r="D22" s="60" t="s">
        <v>622</v>
      </c>
      <c r="E22" s="60" t="s">
        <v>623</v>
      </c>
      <c r="F22" s="60" t="s">
        <v>620</v>
      </c>
      <c r="G22" s="60" t="s">
        <v>624</v>
      </c>
      <c r="H22" s="60" t="s">
        <v>622</v>
      </c>
      <c r="I22" s="60" t="s">
        <v>625</v>
      </c>
      <c r="J22" s="19" t="s">
        <v>626</v>
      </c>
      <c r="K22" s="60" t="s">
        <v>627</v>
      </c>
      <c r="L22" s="60" t="s">
        <v>628</v>
      </c>
      <c r="M22" s="60" t="s">
        <v>629</v>
      </c>
      <c r="N22" s="60" t="s">
        <v>624</v>
      </c>
      <c r="O22" s="60" t="s">
        <v>630</v>
      </c>
      <c r="P22" s="60" t="s">
        <v>631</v>
      </c>
      <c r="Q22" s="60" t="s">
        <v>632</v>
      </c>
      <c r="R22" s="60" t="s">
        <v>633</v>
      </c>
      <c r="S22" s="60" t="s">
        <v>634</v>
      </c>
      <c r="T22" s="60" t="s">
        <v>635</v>
      </c>
      <c r="U22" s="60" t="s">
        <v>636</v>
      </c>
      <c r="V22" s="60" t="s">
        <v>637</v>
      </c>
      <c r="W22" s="60" t="s">
        <v>636</v>
      </c>
      <c r="X22" s="60" t="s">
        <v>638</v>
      </c>
      <c r="Y22" s="60" t="s">
        <v>639</v>
      </c>
      <c r="Z22" s="60" t="s">
        <v>629</v>
      </c>
      <c r="AA22" s="60" t="s">
        <v>629</v>
      </c>
      <c r="AB22" s="60" t="s">
        <v>622</v>
      </c>
      <c r="AC22" s="19" t="s">
        <v>640</v>
      </c>
      <c r="AD22" s="19" t="s">
        <v>641</v>
      </c>
      <c r="AE22" s="60" t="s">
        <v>642</v>
      </c>
      <c r="AF22" s="19" t="s">
        <v>643</v>
      </c>
      <c r="AG22" s="60" t="s">
        <v>644</v>
      </c>
      <c r="AH22" s="60" t="s">
        <v>645</v>
      </c>
      <c r="AI22" s="123" t="s">
        <v>646</v>
      </c>
      <c r="AJ22" s="60" t="s">
        <v>379</v>
      </c>
      <c r="AK22" s="60" t="s">
        <v>647</v>
      </c>
      <c r="AL22" s="60" t="s">
        <v>648</v>
      </c>
      <c r="AM22" s="60" t="s">
        <v>649</v>
      </c>
      <c r="AN22" s="60" t="s">
        <v>650</v>
      </c>
      <c r="AO22" s="60" t="s">
        <v>651</v>
      </c>
      <c r="AP22" s="60"/>
      <c r="AR22" s="68"/>
    </row>
    <row r="23" spans="1:44" ht="210" outlineLevel="1">
      <c r="A23" s="47"/>
      <c r="B23" s="60" t="s">
        <v>652</v>
      </c>
      <c r="C23" s="2"/>
      <c r="D23" s="2"/>
      <c r="E23" s="2"/>
      <c r="F23" s="60" t="s">
        <v>652</v>
      </c>
      <c r="G23" s="60" t="s">
        <v>629</v>
      </c>
      <c r="I23" s="60" t="s">
        <v>652</v>
      </c>
      <c r="J23" s="60" t="s">
        <v>652</v>
      </c>
      <c r="K23" s="60" t="s">
        <v>653</v>
      </c>
      <c r="L23" s="60"/>
      <c r="N23" s="60" t="s">
        <v>629</v>
      </c>
      <c r="O23" s="2"/>
      <c r="P23" s="2"/>
      <c r="Q23" s="60" t="s">
        <v>654</v>
      </c>
      <c r="R23" s="60" t="s">
        <v>655</v>
      </c>
      <c r="S23" s="60" t="s">
        <v>656</v>
      </c>
      <c r="T23" s="60" t="s">
        <v>657</v>
      </c>
      <c r="U23" s="60" t="s">
        <v>658</v>
      </c>
      <c r="V23" s="2"/>
      <c r="W23" s="60" t="s">
        <v>659</v>
      </c>
      <c r="X23" s="60" t="s">
        <v>660</v>
      </c>
      <c r="Y23" s="2"/>
      <c r="AC23" s="80"/>
      <c r="AD23" s="19" t="s">
        <v>661</v>
      </c>
      <c r="AE23" s="60" t="s">
        <v>662</v>
      </c>
      <c r="AF23" s="19" t="s">
        <v>663</v>
      </c>
      <c r="AG23" s="60" t="s">
        <v>654</v>
      </c>
      <c r="AH23" s="60" t="s">
        <v>664</v>
      </c>
      <c r="AJ23" s="60" t="s">
        <v>665</v>
      </c>
      <c r="AK23" s="60" t="s">
        <v>666</v>
      </c>
      <c r="AN23" s="2" t="s">
        <v>667</v>
      </c>
      <c r="AP23" s="60"/>
    </row>
    <row r="24" spans="1:44" ht="30">
      <c r="A24" s="6" t="s">
        <v>668</v>
      </c>
      <c r="B24" s="60" t="e">
        <f>VLOOKUP(B21,Tabelle1!$A$2:$B$35,2,0)</f>
        <v>#VALUE!</v>
      </c>
      <c r="C24" s="60" t="str">
        <f>VLOOKUP(C21,Tabelle1!$A$2:$B$35,2,0)</f>
        <v>100% + (Performance * Participation)</v>
      </c>
      <c r="D24" s="60" t="e">
        <f>VLOOKUP(D21,Tabelle1!$A$2:$B$35,2,0)</f>
        <v>#VALUE!</v>
      </c>
      <c r="E24" s="60" t="str">
        <f>VLOOKUP(E21,Tabelle1!$A$2:$B$35,2,0)</f>
        <v>100% + (Performance * Participation)</v>
      </c>
      <c r="F24" s="60" t="e">
        <f>VLOOKUP(F21,Tabelle1!$A$2:$B$35,2,0)</f>
        <v>#VALUE!</v>
      </c>
      <c r="G24" s="60" t="str">
        <f>VLOOKUP(G21,Tabelle1!$A$2:$B$35,2,0)</f>
        <v>###</v>
      </c>
      <c r="H24" s="60" t="e">
        <f>VLOOKUP(H21,Tabelle1!$A$2:$B$35,2,0)</f>
        <v>#VALUE!</v>
      </c>
      <c r="I24" s="60" t="str">
        <f>VLOOKUP(I21,Tabelle1!$A$2:$B$35,2,0)</f>
        <v>###</v>
      </c>
      <c r="J24" s="60" t="e">
        <f>VLOOKUP(J21,Tabelle1!$A$2:$B$35,2,0)</f>
        <v>#VALUE!</v>
      </c>
      <c r="K24" s="60" t="str">
        <f>VLOOKUP(K21,Tabelle1!$A$2:$B$35,2,0)</f>
        <v>100% + (Performance * Participation)</v>
      </c>
      <c r="L24" s="60" t="e">
        <f>VLOOKUP(L21,Tabelle1!$A$2:$B$35,2,0)</f>
        <v>#VALUE!</v>
      </c>
      <c r="M24" s="60" t="e">
        <f>VLOOKUP(M21,Tabelle1!$A$2:$B$35,2,0)</f>
        <v>#VALUE!</v>
      </c>
      <c r="N24" s="60" t="str">
        <f>VLOOKUP(N21,Tabelle1!$A$2:$B$35,2,0)</f>
        <v>###</v>
      </c>
      <c r="O24" s="60" t="e">
        <f>VLOOKUP(O21,Tabelle1!$A$2:$B$35,2,0)</f>
        <v>#VALUE!</v>
      </c>
      <c r="P24" s="60" t="str">
        <f>VLOOKUP(P21,Tabelle1!$A$2:$B$35,2,0)</f>
        <v>100% + (Performance * Participation)</v>
      </c>
      <c r="Q24" s="60" t="str">
        <f>VLOOKUP(Q21,Tabelle1!$A$2:$B$35,2,0)</f>
        <v>100% + (Performance * Participation)</v>
      </c>
      <c r="R24" s="60" t="str">
        <f>VLOOKUP(R21,Tabelle1!$A$2:$B$35,2,0)</f>
        <v>###</v>
      </c>
      <c r="S24" s="60" t="str">
        <f>VLOOKUP(S21,Tabelle1!$A$2:$B$35,2,0)</f>
        <v>###</v>
      </c>
      <c r="T24" s="60" t="e">
        <f>VLOOKUP(T21,Tabelle1!$A$2:$B$35,2,0)</f>
        <v>#VALUE!</v>
      </c>
      <c r="U24" s="60" t="str">
        <f>VLOOKUP(U21,Tabelle1!$A$2:$B$35,2,0)</f>
        <v>###</v>
      </c>
      <c r="V24" s="60" t="e">
        <f>VLOOKUP(V21,Tabelle1!$A$2:$B$35,2,0)</f>
        <v>#VALUE!</v>
      </c>
      <c r="W24" s="60" t="str">
        <f>VLOOKUP(W21,Tabelle1!$A$2:$B$35,2,0)</f>
        <v>###</v>
      </c>
      <c r="X24" s="60" t="e">
        <f>VLOOKUP(X21,Tabelle1!$A$2:$B$35,2,0)</f>
        <v>#VALUE!</v>
      </c>
      <c r="Y24" s="60" t="str">
        <f>VLOOKUP(Y21,Tabelle1!$A$2:$B$35,2,0)</f>
        <v>100% + MAX (Performance * Participation; Coupon); AT MATURITY</v>
      </c>
      <c r="Z24" s="60" t="e">
        <f>VLOOKUP(Z21,Tabelle1!$A$2:$B$35,2,0)</f>
        <v>#VALUE!</v>
      </c>
      <c r="AA24" s="60" t="e">
        <f>VLOOKUP(AA21,Tabelle1!$A$2:$B$35,2,0)</f>
        <v>#VALUE!</v>
      </c>
      <c r="AB24" s="60" t="e">
        <f>VLOOKUP(AB21,Tabelle1!$A$2:$B$35,2,0)</f>
        <v>#VALUE!</v>
      </c>
      <c r="AC24" s="60" t="str">
        <f>VLOOKUP(AC21,Tabelle1!$A$2:$B$35,2,0)</f>
        <v>100% + MAX (Performance * Participation; Coupon); AT MATURITY</v>
      </c>
      <c r="AD24" s="60" t="str">
        <f>VLOOKUP(AD21,Tabelle1!$A$2:$B$35,2,0)</f>
        <v>###</v>
      </c>
      <c r="AE24" s="60" t="str">
        <f>VLOOKUP(AE21,Tabelle1!$A$2:$B$35,2,0)</f>
        <v>###</v>
      </c>
      <c r="AF24" s="60" t="str">
        <f>VLOOKUP(AF21,Tabelle1!$A$2:$B$35,2,0)</f>
        <v>###</v>
      </c>
      <c r="AG24" s="60" t="e">
        <f>VLOOKUP(AG21,Tabelle1!$A$2:$B$35,2,0)</f>
        <v>#VALUE!</v>
      </c>
      <c r="AH24" s="60" t="e">
        <f>VLOOKUP(AH21,Tabelle1!$A$2:$B$35,2,0)</f>
        <v>#VALUE!</v>
      </c>
      <c r="AI24" s="60" t="e">
        <f>VLOOKUP(AI21,Tabelle1!$A$2:$B$35,2,0)</f>
        <v>#VALUE!</v>
      </c>
      <c r="AJ24" s="60" t="str">
        <f>VLOOKUP(AJ21,Tabelle1!$A$2:$B$35,2,0)</f>
        <v>100% + (Performance * Participation)</v>
      </c>
      <c r="AK24" s="60" t="e">
        <f>VLOOKUP(AK21,Tabelle1!$A$2:$B$35,2,0)</f>
        <v>#VALUE!</v>
      </c>
      <c r="AL24" s="60" t="str">
        <f>VLOOKUP(AL21,Tabelle1!$A$2:$B$35,2,0)</f>
        <v>100% + Coupon + Performance * Participation</v>
      </c>
      <c r="AM24" s="60" t="e">
        <f>VLOOKUP(AM21,Tabelle1!$A$2:$B$35,2,0)</f>
        <v>#VALUE!</v>
      </c>
      <c r="AN24" s="60" t="str">
        <f>VLOOKUP(AN21,Tabelle1!$A$2:$B$35,2,0)</f>
        <v>###</v>
      </c>
      <c r="AO24" s="60" t="e">
        <f>VLOOKUP(AO21,Tabelle1!$A$2:$B$35,2,0)</f>
        <v>#VALUE!</v>
      </c>
      <c r="AP24" s="60" t="str">
        <f>VLOOKUP(AP21,Tabelle1!$A$2:$B$35,2,0)</f>
        <v>100% + Performance1 * Participation - Performance2</v>
      </c>
    </row>
    <row r="25" spans="1:44" ht="30">
      <c r="A25" s="6" t="s">
        <v>669</v>
      </c>
      <c r="B25" s="60" t="str">
        <f>VLOOKUP(B22,Tabelle3[],2,0)</f>
        <v>(Performance * Participation); DI BARRIER AT MATURITY</v>
      </c>
      <c r="C25" s="60" t="str">
        <f>VLOOKUP(C22,Tabelle3[],2,0)</f>
        <v>- 100%</v>
      </c>
      <c r="D25" s="60" t="str">
        <f>VLOOKUP(D22,Tabelle3[],2,0)</f>
        <v>(Performance * Participation)</v>
      </c>
      <c r="E25" s="60" t="str">
        <f>VLOOKUP(E22,Tabelle3[],2,0)</f>
        <v>(Performance * Participation)</v>
      </c>
      <c r="F25" s="60" t="str">
        <f>VLOOKUP(F22,Tabelle3[],2,0)</f>
        <v>(Performance * Participation); DI BARRIER AT MATURITY</v>
      </c>
      <c r="G25" s="60" t="str">
        <f>VLOOKUP(G22,Tabelle3[],2,0)</f>
        <v>(Performance * Participation); DI BARRIER AT MATURITY</v>
      </c>
      <c r="H25" s="60" t="str">
        <f>VLOOKUP(H22,Tabelle3[],2,0)</f>
        <v>(Performance * Participation)</v>
      </c>
      <c r="I25" s="60" t="e">
        <f>VLOOKUP(I22,Tabelle3[],2,0)</f>
        <v>#VALUE!</v>
      </c>
      <c r="J25" s="60" t="str">
        <f>VLOOKUP(J22,Tabelle3[],2,0)</f>
        <v>(Performance * Participation); DI BARRIER AT MATURITY</v>
      </c>
      <c r="K25" s="60" t="str">
        <f>VLOOKUP(K22,Tabelle3[],2,0)</f>
        <v>(Performance * Participation); DI BARRIER AT MATURITY</v>
      </c>
      <c r="L25" s="60" t="e">
        <f>VLOOKUP(L22,Tabelle3[],2,0)</f>
        <v>#VALUE!</v>
      </c>
      <c r="M25" s="60" t="str">
        <f>VLOOKUP(M22,Tabelle3[],2,0)</f>
        <v>(Performance * Participation); DI BARRIER AT MATURITY</v>
      </c>
      <c r="N25" s="60" t="str">
        <f>VLOOKUP(N22,Tabelle3[],2,0)</f>
        <v>(Performance * Participation); DI BARRIER AT MATURITY</v>
      </c>
      <c r="O25" s="60" t="str">
        <f>VLOOKUP(O22,Tabelle3[],2,0)</f>
        <v>- 100%</v>
      </c>
      <c r="P25" s="60" t="str">
        <f>VLOOKUP(P22,Tabelle3[],2,0)</f>
        <v>- 100%</v>
      </c>
      <c r="Q25" s="60" t="str">
        <f>VLOOKUP(Q22,Tabelle3[],2,0)</f>
        <v>(Performance * Participation); DI BARRIER AT MATURITY</v>
      </c>
      <c r="R25" s="60" t="str">
        <f>VLOOKUP(R22,Tabelle3[],2,0)</f>
        <v>(Performance * Participation); DI BARRIER AT MATURITY</v>
      </c>
      <c r="S25" s="60" t="e">
        <f>VLOOKUP(S22,Tabelle3[],2,0)</f>
        <v>#VALUE!</v>
      </c>
      <c r="T25" s="60" t="e">
        <f>VLOOKUP(T22,Tabelle3[],2,0)</f>
        <v>#VALUE!</v>
      </c>
      <c r="U25" s="60" t="str">
        <f>VLOOKUP(U22,Tabelle3[],2,0)</f>
        <v>(Performance * Participation); DI BARRIER CONTINUOUS</v>
      </c>
      <c r="V25" s="60" t="str">
        <f>VLOOKUP(V22,Tabelle3[],2,0)</f>
        <v>(Performance * Participation); DI BARRIER AT MATURITY</v>
      </c>
      <c r="W25" s="60" t="str">
        <f>VLOOKUP(W22,Tabelle3[],2,0)</f>
        <v>(Performance * Participation); DI BARRIER CONTINUOUS</v>
      </c>
      <c r="X25" s="60" t="str">
        <f>VLOOKUP(X22,Tabelle3[],2,0)</f>
        <v>(Performance * Participation); DI BARRIER CONTINUOUS</v>
      </c>
      <c r="Y25" s="60" t="str">
        <f>VLOOKUP(Y22,Tabelle3[],2,0)</f>
        <v>(Performance * Participation); DI BARRIER AT MATURITY</v>
      </c>
      <c r="Z25" s="60" t="str">
        <f>VLOOKUP(Z22,Tabelle3[],2,0)</f>
        <v>(Performance * Participation); DI BARRIER AT MATURITY</v>
      </c>
      <c r="AA25" s="60" t="str">
        <f>VLOOKUP(AA22,Tabelle3[],2,0)</f>
        <v>(Performance * Participation); DI BARRIER AT MATURITY</v>
      </c>
      <c r="AB25" s="60" t="str">
        <f>VLOOKUP(AB22,Tabelle3[],2,0)</f>
        <v>(Performance * Participation)</v>
      </c>
      <c r="AC25" s="60" t="str">
        <f>VLOOKUP(AC22,Tabelle3[],2,0)</f>
        <v>(Performance * Participation)</v>
      </c>
      <c r="AD25" s="60" t="str">
        <f>VLOOKUP(AD22,Tabelle3[],2,0)</f>
        <v>(Performance * Participation)</v>
      </c>
      <c r="AE25" s="60" t="str">
        <f>VLOOKUP(AE22,Tabelle3[],2,0)</f>
        <v>(Performance * Participation)</v>
      </c>
      <c r="AF25" s="60" t="str">
        <f>VLOOKUP(AF22,Tabelle3[],2,0)</f>
        <v>Special</v>
      </c>
      <c r="AG25" s="60" t="str">
        <f>VLOOKUP(AG22,Tabelle3[],2,0)</f>
        <v>###</v>
      </c>
      <c r="AH25" s="60" t="e">
        <f>VLOOKUP(AH22,Tabelle3[],2,0)</f>
        <v>#VALUE!</v>
      </c>
      <c r="AI25" s="60" t="e">
        <f>VLOOKUP(AI22,Tabelle3[],2,0)</f>
        <v>#VALUE!</v>
      </c>
      <c r="AJ25" s="60" t="str">
        <f>VLOOKUP(AJ22,Tabelle3[],2,0)</f>
        <v>###</v>
      </c>
      <c r="AK25" s="60" t="str">
        <f>VLOOKUP(AK22,Tabelle3[],2,0)</f>
        <v>###</v>
      </c>
      <c r="AL25" s="60" t="str">
        <f>VLOOKUP(AL22,Tabelle3[],2,0)</f>
        <v>###</v>
      </c>
      <c r="AM25" s="60" t="e">
        <f>VLOOKUP(AM22,Tabelle3[],2,0)</f>
        <v>#VALUE!</v>
      </c>
      <c r="AN25" s="60" t="str">
        <f>VLOOKUP(AN22,Tabelle3[],2,0)</f>
        <v>###</v>
      </c>
      <c r="AO25" s="60" t="str">
        <f>VLOOKUP(AO22,Tabelle3[],2,0)</f>
        <v>###</v>
      </c>
      <c r="AP25" s="60" t="e">
        <f>VLOOKUP(AP22,Tabelle3[],2,0)</f>
        <v>#N/A</v>
      </c>
      <c r="AR25" s="68"/>
    </row>
    <row r="26" spans="1:44">
      <c r="A26" s="47"/>
      <c r="C26" s="2"/>
      <c r="D26" s="2"/>
      <c r="E26" s="2"/>
      <c r="F26" s="2"/>
      <c r="G26" s="2"/>
      <c r="H26" s="2"/>
      <c r="I26" s="2"/>
      <c r="J26" s="2"/>
      <c r="K26" s="2"/>
      <c r="L26" s="2"/>
      <c r="M26" s="2"/>
      <c r="N26" s="2"/>
      <c r="O26" s="2"/>
      <c r="P26" s="2"/>
      <c r="Q26" s="2"/>
      <c r="R26" s="2"/>
      <c r="S26" s="17"/>
      <c r="T26" s="60"/>
      <c r="U26" s="2"/>
      <c r="V26" s="2"/>
      <c r="W26" s="60"/>
      <c r="X26" s="2"/>
      <c r="Y26" s="2"/>
      <c r="Z26" s="2"/>
      <c r="AA26" s="2"/>
      <c r="AB26" s="2"/>
      <c r="AC26" s="2"/>
      <c r="AD26" s="90"/>
      <c r="AF26" s="19"/>
      <c r="AG26" s="2"/>
      <c r="AK26" s="60"/>
      <c r="AO26" s="2"/>
      <c r="AP26" s="60"/>
    </row>
    <row r="27" spans="1:44">
      <c r="A27" s="47"/>
      <c r="B27" s="2"/>
      <c r="C27" s="2"/>
      <c r="D27" s="2"/>
      <c r="E27" s="2"/>
      <c r="F27" s="2"/>
      <c r="G27" s="2"/>
      <c r="H27" s="2"/>
      <c r="I27" s="2"/>
      <c r="J27" s="2"/>
      <c r="K27" s="2"/>
      <c r="L27" s="2"/>
      <c r="M27" s="2"/>
      <c r="N27" s="2"/>
      <c r="O27" s="2"/>
      <c r="P27" s="2"/>
      <c r="Q27" s="2"/>
      <c r="R27" s="2"/>
      <c r="S27" s="17"/>
      <c r="T27" s="60"/>
      <c r="U27" s="2"/>
      <c r="V27" s="2"/>
      <c r="W27" s="2"/>
      <c r="X27" s="2"/>
      <c r="Y27" s="2"/>
      <c r="Z27" s="2"/>
      <c r="AA27" s="2"/>
      <c r="AB27" s="2"/>
      <c r="AC27" s="2"/>
      <c r="AD27" s="90"/>
      <c r="AF27" s="90"/>
      <c r="AG27" s="2"/>
      <c r="AH27" s="2"/>
      <c r="AJ27" s="2"/>
      <c r="AK27" s="2"/>
      <c r="AN27" s="2"/>
      <c r="AO27" s="2"/>
      <c r="AP27" s="60"/>
    </row>
    <row r="28" spans="1:44">
      <c r="A28" s="13" t="s">
        <v>406</v>
      </c>
      <c r="B28" s="104" t="s">
        <v>131</v>
      </c>
      <c r="C28" s="104" t="s">
        <v>131</v>
      </c>
      <c r="D28" s="104" t="s">
        <v>131</v>
      </c>
      <c r="E28" s="104" t="s">
        <v>131</v>
      </c>
      <c r="F28" s="104" t="s">
        <v>131</v>
      </c>
      <c r="G28" s="104" t="s">
        <v>131</v>
      </c>
      <c r="H28" s="104" t="s">
        <v>131</v>
      </c>
      <c r="I28" s="104" t="s">
        <v>131</v>
      </c>
      <c r="J28" s="104" t="s">
        <v>131</v>
      </c>
      <c r="K28" s="104" t="s">
        <v>131</v>
      </c>
      <c r="L28" s="104" t="s">
        <v>131</v>
      </c>
      <c r="M28" s="104" t="s">
        <v>131</v>
      </c>
      <c r="N28" s="104" t="s">
        <v>131</v>
      </c>
      <c r="O28" s="104" t="s">
        <v>131</v>
      </c>
      <c r="P28" s="104" t="s">
        <v>131</v>
      </c>
      <c r="Q28" s="104" t="s">
        <v>131</v>
      </c>
      <c r="R28" s="104" t="s">
        <v>131</v>
      </c>
      <c r="S28" s="104" t="s">
        <v>131</v>
      </c>
      <c r="T28" s="104" t="s">
        <v>131</v>
      </c>
      <c r="U28" s="104" t="s">
        <v>131</v>
      </c>
      <c r="V28" s="104" t="s">
        <v>131</v>
      </c>
      <c r="W28" s="104" t="s">
        <v>131</v>
      </c>
      <c r="X28" s="104" t="s">
        <v>131</v>
      </c>
      <c r="Y28" s="104" t="s">
        <v>131</v>
      </c>
      <c r="Z28" s="104" t="s">
        <v>131</v>
      </c>
      <c r="AA28" s="104" t="s">
        <v>131</v>
      </c>
      <c r="AB28" s="104" t="s">
        <v>131</v>
      </c>
      <c r="AC28" s="2"/>
      <c r="AD28" s="104" t="s">
        <v>131</v>
      </c>
      <c r="AE28" s="104" t="s">
        <v>131</v>
      </c>
      <c r="AF28" s="104" t="s">
        <v>131</v>
      </c>
      <c r="AG28" s="104" t="s">
        <v>131</v>
      </c>
      <c r="AH28" s="104" t="s">
        <v>131</v>
      </c>
      <c r="AI28" s="104" t="s">
        <v>131</v>
      </c>
      <c r="AJ28" s="104" t="s">
        <v>131</v>
      </c>
      <c r="AK28" s="2"/>
      <c r="AM28" s="104" t="s">
        <v>131</v>
      </c>
      <c r="AN28" s="104" t="s">
        <v>131</v>
      </c>
      <c r="AO28" s="104" t="s">
        <v>131</v>
      </c>
      <c r="AP28" s="104" t="s">
        <v>131</v>
      </c>
    </row>
    <row r="29" spans="1:44">
      <c r="A29"/>
      <c r="B29" s="104" t="s">
        <v>132</v>
      </c>
      <c r="C29" s="104" t="s">
        <v>132</v>
      </c>
      <c r="D29" s="104" t="s">
        <v>132</v>
      </c>
      <c r="E29" s="104" t="s">
        <v>132</v>
      </c>
      <c r="F29" s="104" t="s">
        <v>132</v>
      </c>
      <c r="G29" s="104" t="s">
        <v>132</v>
      </c>
      <c r="H29" s="104" t="s">
        <v>132</v>
      </c>
      <c r="I29" s="104" t="s">
        <v>132</v>
      </c>
      <c r="J29" s="104" t="s">
        <v>132</v>
      </c>
      <c r="K29" s="104" t="s">
        <v>132</v>
      </c>
      <c r="L29" s="104" t="s">
        <v>132</v>
      </c>
      <c r="M29" s="104" t="s">
        <v>132</v>
      </c>
      <c r="N29" s="104" t="s">
        <v>132</v>
      </c>
      <c r="O29" s="104" t="s">
        <v>132</v>
      </c>
      <c r="P29" s="104" t="s">
        <v>132</v>
      </c>
      <c r="Q29" s="104" t="s">
        <v>132</v>
      </c>
      <c r="R29" s="104" t="s">
        <v>132</v>
      </c>
      <c r="S29" s="104" t="s">
        <v>132</v>
      </c>
      <c r="T29" s="104" t="s">
        <v>132</v>
      </c>
      <c r="U29" s="104" t="s">
        <v>132</v>
      </c>
      <c r="V29" s="104" t="s">
        <v>132</v>
      </c>
      <c r="W29" s="104" t="s">
        <v>132</v>
      </c>
      <c r="X29" s="104" t="s">
        <v>132</v>
      </c>
      <c r="Y29" s="104" t="s">
        <v>132</v>
      </c>
      <c r="Z29" s="104" t="s">
        <v>132</v>
      </c>
      <c r="AA29" s="104" t="s">
        <v>132</v>
      </c>
      <c r="AB29" s="104" t="s">
        <v>132</v>
      </c>
      <c r="AC29" s="104" t="s">
        <v>131</v>
      </c>
      <c r="AD29" s="104" t="s">
        <v>132</v>
      </c>
      <c r="AE29" s="104" t="s">
        <v>132</v>
      </c>
      <c r="AF29" s="104" t="s">
        <v>132</v>
      </c>
      <c r="AG29" s="104" t="s">
        <v>132</v>
      </c>
      <c r="AH29" s="104" t="s">
        <v>132</v>
      </c>
      <c r="AI29" s="104" t="s">
        <v>132</v>
      </c>
      <c r="AJ29" s="104" t="s">
        <v>132</v>
      </c>
      <c r="AK29" s="104" t="s">
        <v>131</v>
      </c>
      <c r="AL29" s="104" t="s">
        <v>131</v>
      </c>
      <c r="AM29" s="104" t="s">
        <v>132</v>
      </c>
      <c r="AN29" s="104" t="s">
        <v>132</v>
      </c>
      <c r="AO29" s="104" t="s">
        <v>132</v>
      </c>
      <c r="AP29" s="104" t="s">
        <v>132</v>
      </c>
    </row>
    <row r="30" spans="1:44">
      <c r="A30" s="13"/>
      <c r="B30" s="104" t="s">
        <v>133</v>
      </c>
      <c r="C30" s="104" t="s">
        <v>133</v>
      </c>
      <c r="D30" s="104" t="s">
        <v>133</v>
      </c>
      <c r="E30" s="104" t="s">
        <v>133</v>
      </c>
      <c r="F30" s="104" t="s">
        <v>133</v>
      </c>
      <c r="G30" s="104" t="s">
        <v>133</v>
      </c>
      <c r="H30" s="104" t="s">
        <v>133</v>
      </c>
      <c r="I30" s="104" t="s">
        <v>133</v>
      </c>
      <c r="J30" s="104" t="s">
        <v>133</v>
      </c>
      <c r="K30" s="104" t="s">
        <v>133</v>
      </c>
      <c r="L30" s="104" t="s">
        <v>133</v>
      </c>
      <c r="M30" s="104" t="s">
        <v>133</v>
      </c>
      <c r="N30" s="104" t="s">
        <v>133</v>
      </c>
      <c r="O30" s="104" t="s">
        <v>133</v>
      </c>
      <c r="P30" s="104" t="s">
        <v>133</v>
      </c>
      <c r="Q30" s="104" t="s">
        <v>133</v>
      </c>
      <c r="R30" s="104" t="s">
        <v>133</v>
      </c>
      <c r="S30" s="104" t="s">
        <v>133</v>
      </c>
      <c r="T30" s="104" t="s">
        <v>133</v>
      </c>
      <c r="U30" s="104" t="s">
        <v>133</v>
      </c>
      <c r="V30" s="104" t="s">
        <v>133</v>
      </c>
      <c r="W30" s="104" t="s">
        <v>133</v>
      </c>
      <c r="X30" s="104" t="s">
        <v>133</v>
      </c>
      <c r="Y30" s="104" t="s">
        <v>133</v>
      </c>
      <c r="Z30" s="104" t="s">
        <v>133</v>
      </c>
      <c r="AA30" s="104" t="s">
        <v>133</v>
      </c>
      <c r="AB30" s="104" t="s">
        <v>133</v>
      </c>
      <c r="AC30" s="104" t="s">
        <v>132</v>
      </c>
      <c r="AD30" s="104" t="s">
        <v>133</v>
      </c>
      <c r="AE30" s="104" t="s">
        <v>133</v>
      </c>
      <c r="AF30" s="104" t="s">
        <v>133</v>
      </c>
      <c r="AG30" s="104" t="s">
        <v>133</v>
      </c>
      <c r="AH30" s="104" t="s">
        <v>133</v>
      </c>
      <c r="AI30" s="104" t="s">
        <v>133</v>
      </c>
      <c r="AJ30" s="104" t="s">
        <v>133</v>
      </c>
      <c r="AK30" s="104" t="s">
        <v>132</v>
      </c>
      <c r="AL30" s="104" t="s">
        <v>132</v>
      </c>
      <c r="AM30" s="104" t="s">
        <v>133</v>
      </c>
      <c r="AN30" s="104" t="s">
        <v>133</v>
      </c>
      <c r="AO30" s="104" t="s">
        <v>133</v>
      </c>
      <c r="AP30" s="104" t="s">
        <v>133</v>
      </c>
    </row>
    <row r="31" spans="1:44">
      <c r="A31" s="13"/>
      <c r="B31" s="12" t="s">
        <v>134</v>
      </c>
      <c r="C31" s="12" t="s">
        <v>134</v>
      </c>
      <c r="D31" s="12" t="s">
        <v>134</v>
      </c>
      <c r="E31" s="12" t="s">
        <v>134</v>
      </c>
      <c r="F31" s="12" t="s">
        <v>134</v>
      </c>
      <c r="G31" s="12" t="s">
        <v>134</v>
      </c>
      <c r="H31" s="12" t="s">
        <v>134</v>
      </c>
      <c r="I31" s="12" t="s">
        <v>134</v>
      </c>
      <c r="J31" s="12" t="s">
        <v>134</v>
      </c>
      <c r="K31" s="12" t="s">
        <v>134</v>
      </c>
      <c r="L31" s="12" t="s">
        <v>134</v>
      </c>
      <c r="M31" s="12" t="s">
        <v>134</v>
      </c>
      <c r="N31" s="12" t="s">
        <v>134</v>
      </c>
      <c r="O31" s="12" t="s">
        <v>134</v>
      </c>
      <c r="P31" s="12" t="s">
        <v>134</v>
      </c>
      <c r="Q31" s="12" t="s">
        <v>134</v>
      </c>
      <c r="R31" s="12" t="s">
        <v>134</v>
      </c>
      <c r="S31" s="12" t="s">
        <v>134</v>
      </c>
      <c r="T31" s="12" t="s">
        <v>134</v>
      </c>
      <c r="U31" s="12" t="s">
        <v>134</v>
      </c>
      <c r="V31" s="12" t="s">
        <v>134</v>
      </c>
      <c r="W31" s="12" t="s">
        <v>134</v>
      </c>
      <c r="X31" s="12" t="s">
        <v>134</v>
      </c>
      <c r="Y31" s="12" t="s">
        <v>134</v>
      </c>
      <c r="Z31" s="12" t="s">
        <v>134</v>
      </c>
      <c r="AA31" s="12" t="s">
        <v>134</v>
      </c>
      <c r="AB31" s="12" t="s">
        <v>134</v>
      </c>
      <c r="AC31" s="104" t="s">
        <v>133</v>
      </c>
      <c r="AD31" s="12" t="s">
        <v>134</v>
      </c>
      <c r="AE31" s="12" t="s">
        <v>134</v>
      </c>
      <c r="AF31" s="12" t="s">
        <v>134</v>
      </c>
      <c r="AG31" s="12" t="s">
        <v>134</v>
      </c>
      <c r="AH31" s="12" t="s">
        <v>134</v>
      </c>
      <c r="AI31" s="12" t="s">
        <v>134</v>
      </c>
      <c r="AJ31" s="12" t="s">
        <v>134</v>
      </c>
      <c r="AK31" s="104" t="s">
        <v>133</v>
      </c>
      <c r="AL31" s="104" t="s">
        <v>133</v>
      </c>
      <c r="AM31" s="12" t="s">
        <v>134</v>
      </c>
      <c r="AN31" s="12" t="s">
        <v>134</v>
      </c>
      <c r="AO31" s="12" t="s">
        <v>134</v>
      </c>
      <c r="AP31" s="12" t="s">
        <v>134</v>
      </c>
    </row>
    <row r="32" spans="1:44">
      <c r="A32" s="13"/>
      <c r="B32" s="12" t="s">
        <v>135</v>
      </c>
      <c r="C32" s="12" t="s">
        <v>135</v>
      </c>
      <c r="D32" s="12" t="s">
        <v>135</v>
      </c>
      <c r="E32" s="12" t="s">
        <v>135</v>
      </c>
      <c r="F32" s="12" t="s">
        <v>135</v>
      </c>
      <c r="G32" s="12" t="s">
        <v>135</v>
      </c>
      <c r="H32" s="12" t="s">
        <v>135</v>
      </c>
      <c r="I32" s="12" t="s">
        <v>135</v>
      </c>
      <c r="J32" s="12" t="s">
        <v>135</v>
      </c>
      <c r="K32" s="12" t="s">
        <v>135</v>
      </c>
      <c r="L32" s="12" t="s">
        <v>135</v>
      </c>
      <c r="M32" s="12" t="s">
        <v>135</v>
      </c>
      <c r="N32" s="12" t="s">
        <v>135</v>
      </c>
      <c r="O32" s="12" t="s">
        <v>135</v>
      </c>
      <c r="P32" s="12" t="s">
        <v>135</v>
      </c>
      <c r="Q32" s="12" t="s">
        <v>135</v>
      </c>
      <c r="R32" s="12" t="s">
        <v>135</v>
      </c>
      <c r="S32" s="12" t="s">
        <v>670</v>
      </c>
      <c r="T32" s="12" t="s">
        <v>135</v>
      </c>
      <c r="U32" s="12" t="s">
        <v>135</v>
      </c>
      <c r="V32" s="12" t="s">
        <v>135</v>
      </c>
      <c r="W32" s="12" t="s">
        <v>135</v>
      </c>
      <c r="X32" s="12" t="s">
        <v>135</v>
      </c>
      <c r="Y32" s="12" t="s">
        <v>135</v>
      </c>
      <c r="Z32" s="12" t="s">
        <v>135</v>
      </c>
      <c r="AA32" s="12" t="s">
        <v>135</v>
      </c>
      <c r="AB32" s="12" t="s">
        <v>135</v>
      </c>
      <c r="AC32" s="12" t="s">
        <v>134</v>
      </c>
      <c r="AD32" s="12" t="s">
        <v>135</v>
      </c>
      <c r="AE32" s="12" t="s">
        <v>135</v>
      </c>
      <c r="AF32" s="12" t="s">
        <v>135</v>
      </c>
      <c r="AG32" s="12" t="s">
        <v>135</v>
      </c>
      <c r="AH32" s="12" t="s">
        <v>135</v>
      </c>
      <c r="AI32" s="12" t="s">
        <v>135</v>
      </c>
      <c r="AJ32" s="12" t="s">
        <v>135</v>
      </c>
      <c r="AK32" s="12" t="s">
        <v>134</v>
      </c>
      <c r="AL32" s="12" t="s">
        <v>134</v>
      </c>
      <c r="AM32" s="12" t="s">
        <v>135</v>
      </c>
      <c r="AN32" s="12" t="s">
        <v>135</v>
      </c>
      <c r="AO32" s="12" t="s">
        <v>135</v>
      </c>
      <c r="AP32" s="12" t="s">
        <v>135</v>
      </c>
    </row>
    <row r="33" spans="1:42">
      <c r="A33" s="13"/>
      <c r="B33" s="12" t="s">
        <v>241</v>
      </c>
      <c r="C33" s="12" t="s">
        <v>241</v>
      </c>
      <c r="D33" s="12" t="s">
        <v>137</v>
      </c>
      <c r="E33" s="12" t="s">
        <v>241</v>
      </c>
      <c r="F33" s="12" t="s">
        <v>241</v>
      </c>
      <c r="G33" s="12" t="s">
        <v>410</v>
      </c>
      <c r="H33" s="12" t="s">
        <v>241</v>
      </c>
      <c r="I33" s="12" t="s">
        <v>671</v>
      </c>
      <c r="J33" s="12" t="s">
        <v>672</v>
      </c>
      <c r="K33" s="12" t="s">
        <v>672</v>
      </c>
      <c r="L33" s="12" t="s">
        <v>137</v>
      </c>
      <c r="M33" s="12" t="s">
        <v>137</v>
      </c>
      <c r="N33" s="12" t="s">
        <v>409</v>
      </c>
      <c r="O33" s="12" t="s">
        <v>241</v>
      </c>
      <c r="P33" s="12" t="s">
        <v>241</v>
      </c>
      <c r="Q33" s="12" t="s">
        <v>241</v>
      </c>
      <c r="R33" s="12" t="s">
        <v>673</v>
      </c>
      <c r="S33" s="12" t="s">
        <v>416</v>
      </c>
      <c r="T33" s="12" t="s">
        <v>241</v>
      </c>
      <c r="U33" s="12" t="s">
        <v>410</v>
      </c>
      <c r="V33" s="12" t="s">
        <v>241</v>
      </c>
      <c r="W33" s="12" t="s">
        <v>409</v>
      </c>
      <c r="X33" s="12" t="s">
        <v>241</v>
      </c>
      <c r="Y33" s="12" t="s">
        <v>137</v>
      </c>
      <c r="Z33" s="12" t="s">
        <v>241</v>
      </c>
      <c r="AA33" s="12" t="s">
        <v>241</v>
      </c>
      <c r="AB33" s="12" t="s">
        <v>241</v>
      </c>
      <c r="AC33" s="12" t="s">
        <v>135</v>
      </c>
      <c r="AD33" s="12" t="s">
        <v>137</v>
      </c>
      <c r="AE33" s="12" t="s">
        <v>241</v>
      </c>
      <c r="AF33" s="69" t="s">
        <v>674</v>
      </c>
      <c r="AG33" s="12" t="s">
        <v>675</v>
      </c>
      <c r="AH33" s="12" t="s">
        <v>241</v>
      </c>
      <c r="AI33" s="12" t="s">
        <v>241</v>
      </c>
      <c r="AJ33" s="12" t="s">
        <v>241</v>
      </c>
      <c r="AK33" s="12" t="s">
        <v>135</v>
      </c>
      <c r="AL33" s="12" t="s">
        <v>135</v>
      </c>
      <c r="AM33" s="12" t="s">
        <v>241</v>
      </c>
      <c r="AN33" s="12" t="s">
        <v>410</v>
      </c>
      <c r="AO33" s="12" t="s">
        <v>241</v>
      </c>
      <c r="AP33" s="12" t="s">
        <v>241</v>
      </c>
    </row>
    <row r="34" spans="1:42">
      <c r="A34" s="12"/>
      <c r="B34" s="12" t="s">
        <v>265</v>
      </c>
      <c r="C34" s="12" t="s">
        <v>146</v>
      </c>
      <c r="D34" s="12" t="s">
        <v>146</v>
      </c>
      <c r="E34" s="12" t="s">
        <v>146</v>
      </c>
      <c r="F34" s="12" t="s">
        <v>407</v>
      </c>
      <c r="G34" s="12" t="s">
        <v>408</v>
      </c>
      <c r="H34" s="12" t="s">
        <v>407</v>
      </c>
      <c r="I34" s="12" t="s">
        <v>676</v>
      </c>
      <c r="J34" s="12" t="s">
        <v>265</v>
      </c>
      <c r="K34" s="12" t="s">
        <v>265</v>
      </c>
      <c r="L34" s="12" t="s">
        <v>265</v>
      </c>
      <c r="M34" s="12" t="s">
        <v>265</v>
      </c>
      <c r="N34" s="12" t="s">
        <v>265</v>
      </c>
      <c r="O34" s="12" t="s">
        <v>407</v>
      </c>
      <c r="P34" s="12" t="s">
        <v>146</v>
      </c>
      <c r="Q34" s="12" t="s">
        <v>265</v>
      </c>
      <c r="R34" s="12" t="s">
        <v>676</v>
      </c>
      <c r="S34" s="12" t="s">
        <v>241</v>
      </c>
      <c r="T34" s="12" t="s">
        <v>265</v>
      </c>
      <c r="U34" s="12" t="s">
        <v>408</v>
      </c>
      <c r="V34" s="12" t="s">
        <v>137</v>
      </c>
      <c r="W34" s="12" t="s">
        <v>265</v>
      </c>
      <c r="X34" s="12" t="s">
        <v>407</v>
      </c>
      <c r="Y34" s="12" t="s">
        <v>265</v>
      </c>
      <c r="Z34" s="12" t="s">
        <v>137</v>
      </c>
      <c r="AA34" s="12" t="s">
        <v>137</v>
      </c>
      <c r="AB34" s="69" t="s">
        <v>413</v>
      </c>
      <c r="AC34" s="12" t="s">
        <v>137</v>
      </c>
      <c r="AD34" s="12" t="s">
        <v>148</v>
      </c>
      <c r="AE34" s="12" t="s">
        <v>409</v>
      </c>
      <c r="AF34" s="12" t="s">
        <v>409</v>
      </c>
      <c r="AG34" s="12" t="s">
        <v>677</v>
      </c>
      <c r="AH34" s="12" t="s">
        <v>147</v>
      </c>
      <c r="AI34" s="12" t="s">
        <v>678</v>
      </c>
      <c r="AJ34" s="12" t="s">
        <v>147</v>
      </c>
      <c r="AK34" s="12" t="s">
        <v>241</v>
      </c>
      <c r="AL34" s="12" t="s">
        <v>137</v>
      </c>
      <c r="AM34" s="12" t="s">
        <v>678</v>
      </c>
      <c r="AN34" s="12" t="s">
        <v>408</v>
      </c>
      <c r="AO34" s="12" t="s">
        <v>407</v>
      </c>
      <c r="AP34" s="12" t="s">
        <v>679</v>
      </c>
    </row>
    <row r="35" spans="1:42">
      <c r="A35" s="13"/>
      <c r="B35" s="12" t="s">
        <v>146</v>
      </c>
      <c r="C35" s="12" t="s">
        <v>147</v>
      </c>
      <c r="D35" s="12" t="s">
        <v>147</v>
      </c>
      <c r="E35" s="12" t="s">
        <v>147</v>
      </c>
      <c r="F35" s="12" t="s">
        <v>265</v>
      </c>
      <c r="G35" s="12" t="s">
        <v>265</v>
      </c>
      <c r="H35" s="12" t="s">
        <v>147</v>
      </c>
      <c r="I35" s="12" t="s">
        <v>265</v>
      </c>
      <c r="J35" s="69" t="s">
        <v>413</v>
      </c>
      <c r="K35" s="12" t="s">
        <v>146</v>
      </c>
      <c r="L35" s="12" t="s">
        <v>149</v>
      </c>
      <c r="M35" s="12" t="s">
        <v>146</v>
      </c>
      <c r="N35" s="12" t="s">
        <v>148</v>
      </c>
      <c r="O35" s="12" t="s">
        <v>146</v>
      </c>
      <c r="P35" s="12" t="s">
        <v>147</v>
      </c>
      <c r="Q35" s="12" t="s">
        <v>146</v>
      </c>
      <c r="R35" s="12" t="s">
        <v>265</v>
      </c>
      <c r="S35" s="12" t="s">
        <v>265</v>
      </c>
      <c r="T35" s="12" t="s">
        <v>679</v>
      </c>
      <c r="U35" s="12" t="s">
        <v>265</v>
      </c>
      <c r="V35" s="12" t="s">
        <v>265</v>
      </c>
      <c r="W35" s="12" t="s">
        <v>149</v>
      </c>
      <c r="X35" s="12" t="s">
        <v>265</v>
      </c>
      <c r="Y35" s="12" t="s">
        <v>146</v>
      </c>
      <c r="Z35" s="12" t="s">
        <v>265</v>
      </c>
      <c r="AA35" s="12" t="s">
        <v>265</v>
      </c>
      <c r="AB35" s="12" t="s">
        <v>146</v>
      </c>
      <c r="AC35" s="12" t="s">
        <v>146</v>
      </c>
      <c r="AD35" s="12" t="s">
        <v>146</v>
      </c>
      <c r="AE35" s="12" t="s">
        <v>148</v>
      </c>
      <c r="AF35" s="12" t="s">
        <v>265</v>
      </c>
      <c r="AG35" s="12" t="s">
        <v>265</v>
      </c>
      <c r="AI35" s="69" t="s">
        <v>413</v>
      </c>
      <c r="AK35" s="12" t="s">
        <v>417</v>
      </c>
      <c r="AL35" s="12" t="s">
        <v>147</v>
      </c>
      <c r="AM35" s="69" t="s">
        <v>413</v>
      </c>
      <c r="AN35" s="12" t="s">
        <v>265</v>
      </c>
      <c r="AO35" s="69" t="s">
        <v>413</v>
      </c>
      <c r="AP35" s="12" t="s">
        <v>680</v>
      </c>
    </row>
    <row r="36" spans="1:42">
      <c r="A36" s="13"/>
      <c r="B36" s="12" t="s">
        <v>147</v>
      </c>
      <c r="D36" s="12"/>
      <c r="F36" s="12" t="s">
        <v>146</v>
      </c>
      <c r="G36" s="12" t="s">
        <v>148</v>
      </c>
      <c r="H36" s="1"/>
      <c r="I36" s="12" t="s">
        <v>146</v>
      </c>
      <c r="J36" s="12" t="s">
        <v>146</v>
      </c>
      <c r="K36" s="12" t="s">
        <v>147</v>
      </c>
      <c r="L36" s="12" t="s">
        <v>681</v>
      </c>
      <c r="M36" s="12" t="s">
        <v>147</v>
      </c>
      <c r="N36" s="12" t="s">
        <v>146</v>
      </c>
      <c r="O36" s="12" t="s">
        <v>147</v>
      </c>
      <c r="Q36" s="12" t="s">
        <v>147</v>
      </c>
      <c r="R36" s="12" t="s">
        <v>146</v>
      </c>
      <c r="S36" s="12" t="s">
        <v>146</v>
      </c>
      <c r="T36" s="12" t="s">
        <v>680</v>
      </c>
      <c r="U36" s="12" t="s">
        <v>149</v>
      </c>
      <c r="V36" s="12" t="s">
        <v>146</v>
      </c>
      <c r="W36" s="12" t="s">
        <v>681</v>
      </c>
      <c r="X36" s="69" t="s">
        <v>413</v>
      </c>
      <c r="Y36" s="12" t="s">
        <v>147</v>
      </c>
      <c r="Z36" s="69" t="s">
        <v>413</v>
      </c>
      <c r="AA36" s="12" t="s">
        <v>146</v>
      </c>
      <c r="AB36" s="12" t="s">
        <v>147</v>
      </c>
      <c r="AC36" s="12" t="s">
        <v>147</v>
      </c>
      <c r="AD36" s="12" t="s">
        <v>147</v>
      </c>
      <c r="AE36" s="12" t="s">
        <v>147</v>
      </c>
      <c r="AF36" s="12" t="s">
        <v>148</v>
      </c>
      <c r="AG36" s="12" t="s">
        <v>146</v>
      </c>
      <c r="AI36" s="12" t="s">
        <v>147</v>
      </c>
      <c r="AK36" s="12" t="s">
        <v>407</v>
      </c>
      <c r="AM36" s="12" t="s">
        <v>147</v>
      </c>
      <c r="AN36" s="12" t="s">
        <v>148</v>
      </c>
      <c r="AO36" s="12" t="s">
        <v>147</v>
      </c>
      <c r="AP36" s="12" t="s">
        <v>146</v>
      </c>
    </row>
    <row r="37" spans="1:42">
      <c r="A37" s="13"/>
      <c r="B37" s="12"/>
      <c r="F37" s="12" t="s">
        <v>147</v>
      </c>
      <c r="G37" s="12" t="s">
        <v>146</v>
      </c>
      <c r="I37" s="12" t="s">
        <v>147</v>
      </c>
      <c r="J37" s="12" t="s">
        <v>147</v>
      </c>
      <c r="L37" s="12" t="s">
        <v>147</v>
      </c>
      <c r="N37" s="12" t="s">
        <v>147</v>
      </c>
      <c r="Q37" s="12"/>
      <c r="R37" s="12" t="s">
        <v>147</v>
      </c>
      <c r="S37" s="12" t="s">
        <v>147</v>
      </c>
      <c r="T37" s="12" t="s">
        <v>146</v>
      </c>
      <c r="U37" s="12" t="s">
        <v>681</v>
      </c>
      <c r="V37" s="12" t="s">
        <v>147</v>
      </c>
      <c r="W37" s="12" t="s">
        <v>148</v>
      </c>
      <c r="X37" s="12" t="s">
        <v>149</v>
      </c>
      <c r="Y37" s="12"/>
      <c r="Z37" s="12" t="s">
        <v>146</v>
      </c>
      <c r="AA37" s="12" t="s">
        <v>147</v>
      </c>
      <c r="AC37" s="12"/>
      <c r="AD37" s="69"/>
      <c r="AF37" s="12" t="s">
        <v>149</v>
      </c>
      <c r="AG37" s="12" t="s">
        <v>147</v>
      </c>
      <c r="AH37" s="183" t="s">
        <v>149</v>
      </c>
      <c r="AI37" s="12"/>
      <c r="AJ37" s="183" t="s">
        <v>149</v>
      </c>
      <c r="AK37" s="12" t="s">
        <v>682</v>
      </c>
      <c r="AM37" s="12"/>
      <c r="AN37" s="12" t="s">
        <v>146</v>
      </c>
      <c r="AP37" s="12" t="s">
        <v>147</v>
      </c>
    </row>
    <row r="38" spans="1:42">
      <c r="A38" s="13"/>
      <c r="F38" s="12"/>
      <c r="G38" s="12" t="s">
        <v>147</v>
      </c>
      <c r="J38" s="12"/>
      <c r="L38" s="12"/>
      <c r="N38" s="12"/>
      <c r="R38" s="12"/>
      <c r="T38" s="12" t="s">
        <v>147</v>
      </c>
      <c r="U38" s="12" t="s">
        <v>148</v>
      </c>
      <c r="V38" s="12"/>
      <c r="W38" s="12" t="s">
        <v>147</v>
      </c>
      <c r="X38" s="12" t="s">
        <v>681</v>
      </c>
      <c r="Z38" s="12" t="s">
        <v>147</v>
      </c>
      <c r="AC38" s="1"/>
      <c r="AD38" s="183" t="s">
        <v>149</v>
      </c>
      <c r="AF38" s="12" t="s">
        <v>681</v>
      </c>
      <c r="AG38" s="12"/>
      <c r="AH38" s="183" t="s">
        <v>146</v>
      </c>
      <c r="AI38" s="12"/>
      <c r="AJ38" s="183" t="s">
        <v>146</v>
      </c>
      <c r="AK38" s="12" t="s">
        <v>147</v>
      </c>
      <c r="AL38" s="183" t="s">
        <v>149</v>
      </c>
      <c r="AM38" s="12"/>
      <c r="AN38" s="12" t="s">
        <v>147</v>
      </c>
      <c r="AP38" s="12"/>
    </row>
    <row r="39" spans="1:42">
      <c r="A39" s="13"/>
      <c r="B39" s="183" t="s">
        <v>149</v>
      </c>
      <c r="F39" s="1"/>
      <c r="G39" s="12"/>
      <c r="J39" s="183" t="s">
        <v>149</v>
      </c>
      <c r="T39" s="12"/>
      <c r="U39" s="12" t="s">
        <v>147</v>
      </c>
      <c r="W39" s="12"/>
      <c r="X39" s="12" t="s">
        <v>147</v>
      </c>
      <c r="AB39" s="12"/>
      <c r="AC39" s="1"/>
      <c r="AD39" s="72"/>
      <c r="AE39" s="183" t="s">
        <v>149</v>
      </c>
      <c r="AF39" s="12" t="s">
        <v>147</v>
      </c>
      <c r="AI39" s="12"/>
      <c r="AK39"/>
      <c r="AL39" s="183" t="s">
        <v>146</v>
      </c>
      <c r="AM39" s="12"/>
      <c r="AN39" s="12"/>
      <c r="AP39" s="78"/>
    </row>
    <row r="40" spans="1:42">
      <c r="A40" s="13"/>
      <c r="G40"/>
      <c r="H40" s="183" t="s">
        <v>149</v>
      </c>
      <c r="J40" s="107" t="s">
        <v>425</v>
      </c>
      <c r="T40" s="78"/>
      <c r="U40" s="12"/>
      <c r="Y40" s="183" t="s">
        <v>149</v>
      </c>
      <c r="AA40" s="183" t="s">
        <v>149</v>
      </c>
      <c r="AB40" s="12"/>
      <c r="AC40" s="1"/>
      <c r="AD40" s="72"/>
      <c r="AE40" s="183" t="s">
        <v>146</v>
      </c>
      <c r="AF40" s="12"/>
      <c r="AG40" s="183" t="s">
        <v>149</v>
      </c>
      <c r="AI40" s="1"/>
      <c r="AK40" s="183" t="s">
        <v>149</v>
      </c>
      <c r="AM40" s="1"/>
      <c r="AO40" s="183" t="s">
        <v>149</v>
      </c>
      <c r="AP40" s="183" t="s">
        <v>149</v>
      </c>
    </row>
    <row r="41" spans="1:42">
      <c r="A41" s="13"/>
      <c r="C41" s="183" t="s">
        <v>149</v>
      </c>
      <c r="D41" s="183" t="s">
        <v>149</v>
      </c>
      <c r="E41" s="183" t="s">
        <v>149</v>
      </c>
      <c r="F41" s="183" t="s">
        <v>149</v>
      </c>
      <c r="G41" s="183" t="s">
        <v>149</v>
      </c>
      <c r="H41" s="183" t="s">
        <v>146</v>
      </c>
      <c r="I41" s="183" t="s">
        <v>149</v>
      </c>
      <c r="J41" s="107" t="s">
        <v>426</v>
      </c>
      <c r="K41" s="183" t="s">
        <v>149</v>
      </c>
      <c r="M41" s="183" t="s">
        <v>149</v>
      </c>
      <c r="N41" s="183" t="s">
        <v>149</v>
      </c>
      <c r="O41" s="183" t="s">
        <v>149</v>
      </c>
      <c r="P41" s="183" t="s">
        <v>149</v>
      </c>
      <c r="Q41" s="183" t="s">
        <v>149</v>
      </c>
      <c r="R41" s="183" t="s">
        <v>149</v>
      </c>
      <c r="S41" s="183" t="s">
        <v>149</v>
      </c>
      <c r="T41" s="183" t="s">
        <v>149</v>
      </c>
      <c r="V41" s="183" t="s">
        <v>149</v>
      </c>
      <c r="Z41" s="12"/>
      <c r="AA41" s="12"/>
      <c r="AB41" s="183" t="s">
        <v>149</v>
      </c>
      <c r="AC41" s="1"/>
      <c r="AD41" s="72"/>
      <c r="AF41" s="1"/>
      <c r="AI41" s="1"/>
      <c r="AK41" s="183" t="s">
        <v>146</v>
      </c>
      <c r="AM41" s="1"/>
      <c r="AN41" s="183" t="s">
        <v>149</v>
      </c>
      <c r="AO41" s="183" t="s">
        <v>146</v>
      </c>
      <c r="AP41" s="78"/>
    </row>
    <row r="42" spans="1:42">
      <c r="A42" s="13"/>
      <c r="G42"/>
      <c r="L42" s="12"/>
      <c r="M42" s="12"/>
      <c r="Q42" s="12"/>
      <c r="T42" s="78"/>
      <c r="W42" s="183" t="s">
        <v>149</v>
      </c>
      <c r="X42" s="183" t="s">
        <v>149</v>
      </c>
      <c r="Z42" s="183" t="s">
        <v>149</v>
      </c>
      <c r="AB42" s="69" t="s">
        <v>425</v>
      </c>
      <c r="AC42" s="183" t="s">
        <v>149</v>
      </c>
      <c r="AD42" s="72"/>
      <c r="AF42" s="1"/>
      <c r="AI42" s="183" t="s">
        <v>149</v>
      </c>
      <c r="AK42"/>
      <c r="AM42" s="183" t="s">
        <v>149</v>
      </c>
    </row>
    <row r="43" spans="1:42">
      <c r="A43" s="13"/>
      <c r="G43"/>
      <c r="N43" s="12"/>
      <c r="X43" s="107" t="s">
        <v>425</v>
      </c>
      <c r="Z43" s="107" t="s">
        <v>425</v>
      </c>
      <c r="AB43" s="69" t="s">
        <v>426</v>
      </c>
      <c r="AC43" s="1"/>
      <c r="AD43" s="72"/>
      <c r="AF43" s="12"/>
      <c r="AI43" s="183" t="s">
        <v>146</v>
      </c>
      <c r="AK43"/>
      <c r="AM43" s="183" t="s">
        <v>146</v>
      </c>
    </row>
    <row r="44" spans="1:42">
      <c r="A44" s="13"/>
      <c r="B44" s="12"/>
      <c r="G44" s="12"/>
      <c r="I44" s="12"/>
      <c r="R44" s="12"/>
      <c r="U44" s="12"/>
      <c r="W44" s="12"/>
      <c r="X44" s="107" t="s">
        <v>426</v>
      </c>
      <c r="Y44" s="104"/>
      <c r="Z44" s="107" t="s">
        <v>426</v>
      </c>
      <c r="AC44" s="1"/>
      <c r="AD44" s="72"/>
      <c r="AF44" s="12"/>
      <c r="AI44" s="107" t="s">
        <v>425</v>
      </c>
      <c r="AK44"/>
      <c r="AM44" s="107" t="s">
        <v>425</v>
      </c>
      <c r="AN44" s="12"/>
    </row>
    <row r="45" spans="1:42">
      <c r="A45" s="13"/>
      <c r="D45" s="104"/>
      <c r="E45" s="104"/>
      <c r="G45"/>
      <c r="L45" s="12"/>
      <c r="V45" s="104"/>
      <c r="X45" s="1"/>
      <c r="Y45" s="69"/>
      <c r="AD45" s="72"/>
      <c r="AF45" s="72"/>
      <c r="AI45" s="107" t="s">
        <v>426</v>
      </c>
      <c r="AK45"/>
      <c r="AM45" s="107" t="s">
        <v>426</v>
      </c>
    </row>
    <row r="46" spans="1:42">
      <c r="D46" s="69"/>
      <c r="E46" s="69"/>
      <c r="G46"/>
      <c r="V46" s="69"/>
      <c r="X46" s="1"/>
      <c r="AD46" s="72"/>
      <c r="AF46" s="72"/>
      <c r="AI46" s="109"/>
      <c r="AK46"/>
      <c r="AM46" s="109"/>
    </row>
    <row r="47" spans="1:42">
      <c r="G47"/>
      <c r="X47" s="1"/>
      <c r="AD47" s="72"/>
      <c r="AF47" s="19"/>
      <c r="AI47" s="1"/>
      <c r="AK47"/>
      <c r="AM47" s="1"/>
    </row>
    <row r="48" spans="1:42">
      <c r="G48"/>
      <c r="X48" s="1"/>
      <c r="AD48" s="72"/>
      <c r="AF48" s="19"/>
      <c r="AI48" s="1"/>
      <c r="AK48"/>
      <c r="AM48" s="1"/>
    </row>
    <row r="49" spans="4:32">
      <c r="G49"/>
      <c r="X49" s="1"/>
      <c r="Y49" s="12"/>
      <c r="AD49" s="72"/>
      <c r="AF49" s="19"/>
    </row>
    <row r="50" spans="4:32">
      <c r="D50" s="12"/>
      <c r="E50" s="12"/>
      <c r="V50" s="12"/>
      <c r="X50" s="1"/>
      <c r="Y50" s="12"/>
      <c r="AD50" s="72"/>
      <c r="AF50" s="72"/>
    </row>
    <row r="51" spans="4:32">
      <c r="D51" s="12"/>
      <c r="E51" s="12"/>
      <c r="V51" s="12"/>
      <c r="X51" s="1"/>
      <c r="Y51" s="69"/>
      <c r="AD51" s="72"/>
      <c r="AF51" s="72"/>
    </row>
    <row r="52" spans="4:32">
      <c r="D52" s="69"/>
      <c r="E52" s="69"/>
      <c r="V52" s="69"/>
      <c r="AD52" s="72"/>
      <c r="AF52" s="72"/>
    </row>
    <row r="53" spans="4:32">
      <c r="AD53" s="72"/>
    </row>
    <row r="54" spans="4:32">
      <c r="AD54" s="72"/>
    </row>
    <row r="55" spans="4:32">
      <c r="Y55" s="12"/>
      <c r="AD55" s="72"/>
    </row>
    <row r="56" spans="4:32">
      <c r="D56" s="12"/>
      <c r="E56" s="12"/>
      <c r="V56" s="12"/>
      <c r="Y56" s="69"/>
      <c r="AD56" s="72"/>
    </row>
    <row r="57" spans="4:32">
      <c r="D57" s="69"/>
      <c r="E57" s="69"/>
      <c r="V57" s="69"/>
      <c r="Y57" s="69"/>
      <c r="AC57" s="1"/>
      <c r="AD57" s="72"/>
    </row>
    <row r="58" spans="4:32">
      <c r="D58" s="69"/>
      <c r="E58" s="69"/>
      <c r="V58" s="69"/>
      <c r="AC58" s="104"/>
    </row>
    <row r="59" spans="4:32">
      <c r="AC59" s="69"/>
    </row>
    <row r="60" spans="4:32">
      <c r="AC60" s="1"/>
    </row>
  </sheetData>
  <pageMargins left="0.7" right="0.7" top="0.75" bottom="0.75" header="0.3" footer="0.3"/>
  <pageSetup paperSize="8" scale="56" fitToWidth="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rgb="FF00B050"/>
    <pageSetUpPr fitToPage="1"/>
  </sheetPr>
  <dimension ref="A1:S44"/>
  <sheetViews>
    <sheetView topLeftCell="A4" zoomScaleNormal="100" workbookViewId="0">
      <selection activeCell="C18" sqref="C18"/>
    </sheetView>
  </sheetViews>
  <sheetFormatPr defaultColWidth="9" defaultRowHeight="15"/>
  <cols>
    <col min="1" max="1" width="17.125" style="4" bestFit="1" customWidth="1"/>
    <col min="2" max="3" width="37.375" style="1" customWidth="1"/>
    <col min="4" max="5" width="38" customWidth="1"/>
    <col min="6" max="6" width="37.375" style="1" customWidth="1"/>
    <col min="7" max="9" width="38" customWidth="1"/>
    <col min="10" max="10" width="37.125" style="155" customWidth="1"/>
    <col min="11" max="11" width="34.625" customWidth="1"/>
    <col min="12" max="12" width="37.375" style="1" customWidth="1"/>
    <col min="13" max="13" width="34.625" customWidth="1"/>
    <col min="14" max="14" width="47.875" customWidth="1"/>
    <col min="15" max="15" width="37.375" style="1" customWidth="1"/>
    <col min="16" max="17" width="38" customWidth="1"/>
    <col min="18" max="18" width="36.375" customWidth="1"/>
    <col min="19" max="19" width="35.875" customWidth="1"/>
  </cols>
  <sheetData>
    <row r="1" spans="1:19">
      <c r="A1" s="8"/>
      <c r="B1" s="117" t="s">
        <v>683</v>
      </c>
      <c r="C1" s="59" t="s">
        <v>684</v>
      </c>
      <c r="D1" s="59" t="s">
        <v>685</v>
      </c>
      <c r="E1" s="59" t="s">
        <v>686</v>
      </c>
      <c r="F1" s="117" t="s">
        <v>687</v>
      </c>
      <c r="G1" s="59" t="s">
        <v>688</v>
      </c>
      <c r="H1" s="70" t="s">
        <v>689</v>
      </c>
      <c r="I1" s="59" t="s">
        <v>690</v>
      </c>
      <c r="J1" s="161"/>
      <c r="K1" s="70" t="s">
        <v>691</v>
      </c>
      <c r="L1" s="117" t="s">
        <v>692</v>
      </c>
      <c r="M1" s="70" t="s">
        <v>693</v>
      </c>
      <c r="N1" s="117" t="s">
        <v>694</v>
      </c>
      <c r="O1" s="117" t="s">
        <v>695</v>
      </c>
      <c r="P1" s="70" t="s">
        <v>696</v>
      </c>
      <c r="Q1" s="70" t="s">
        <v>697</v>
      </c>
      <c r="R1" s="117" t="s">
        <v>698</v>
      </c>
      <c r="S1" s="117" t="s">
        <v>699</v>
      </c>
    </row>
    <row r="2" spans="1:19" ht="15.75">
      <c r="A2" s="9"/>
      <c r="B2" s="174" t="s">
        <v>700</v>
      </c>
      <c r="C2" s="182" t="s">
        <v>701</v>
      </c>
      <c r="D2" s="174" t="s">
        <v>702</v>
      </c>
      <c r="E2" s="174" t="s">
        <v>703</v>
      </c>
      <c r="F2" s="174" t="s">
        <v>704</v>
      </c>
      <c r="G2" s="174" t="s">
        <v>705</v>
      </c>
      <c r="H2" s="76" t="s">
        <v>706</v>
      </c>
      <c r="I2" s="174" t="s">
        <v>707</v>
      </c>
      <c r="J2" s="162" t="s">
        <v>708</v>
      </c>
      <c r="K2" s="174" t="s">
        <v>709</v>
      </c>
      <c r="L2" s="174" t="s">
        <v>710</v>
      </c>
      <c r="M2" s="174" t="s">
        <v>711</v>
      </c>
      <c r="N2" s="182" t="s">
        <v>712</v>
      </c>
      <c r="O2" s="174" t="s">
        <v>713</v>
      </c>
      <c r="P2" s="174" t="s">
        <v>714</v>
      </c>
      <c r="Q2" s="174" t="s">
        <v>715</v>
      </c>
      <c r="R2" s="182" t="s">
        <v>716</v>
      </c>
      <c r="S2" s="182" t="s">
        <v>717</v>
      </c>
    </row>
    <row r="3" spans="1:19" ht="30">
      <c r="A3" s="10" t="s">
        <v>36</v>
      </c>
      <c r="B3" s="175" t="s">
        <v>228</v>
      </c>
      <c r="C3" s="175" t="s">
        <v>40</v>
      </c>
      <c r="D3" s="25" t="s">
        <v>232</v>
      </c>
      <c r="E3" s="25" t="s">
        <v>232</v>
      </c>
      <c r="F3" s="175" t="s">
        <v>40</v>
      </c>
      <c r="G3" s="81" t="s">
        <v>228</v>
      </c>
      <c r="H3" s="81" t="s">
        <v>228</v>
      </c>
      <c r="I3" s="25" t="s">
        <v>232</v>
      </c>
      <c r="J3" s="148" t="s">
        <v>40</v>
      </c>
      <c r="K3" s="81" t="s">
        <v>228</v>
      </c>
      <c r="L3" s="175" t="s">
        <v>40</v>
      </c>
      <c r="M3" s="81" t="s">
        <v>228</v>
      </c>
      <c r="N3" s="64" t="s">
        <v>238</v>
      </c>
      <c r="O3" s="175" t="s">
        <v>40</v>
      </c>
      <c r="P3" s="81" t="s">
        <v>228</v>
      </c>
      <c r="Q3" s="81" t="s">
        <v>40</v>
      </c>
      <c r="R3" s="51" t="s">
        <v>718</v>
      </c>
      <c r="S3" s="175" t="s">
        <v>228</v>
      </c>
    </row>
    <row r="4" spans="1:19" ht="30">
      <c r="A4" s="10" t="s">
        <v>38</v>
      </c>
      <c r="B4" s="175" t="s">
        <v>241</v>
      </c>
      <c r="C4" s="175" t="s">
        <v>241</v>
      </c>
      <c r="D4" s="25" t="s">
        <v>241</v>
      </c>
      <c r="E4" s="25" t="s">
        <v>241</v>
      </c>
      <c r="F4" s="175" t="s">
        <v>241</v>
      </c>
      <c r="G4" s="81" t="s">
        <v>241</v>
      </c>
      <c r="H4" s="81" t="s">
        <v>241</v>
      </c>
      <c r="I4" s="25" t="s">
        <v>241</v>
      </c>
      <c r="J4" s="163" t="s">
        <v>241</v>
      </c>
      <c r="K4" s="83" t="s">
        <v>241</v>
      </c>
      <c r="L4" s="175" t="s">
        <v>241</v>
      </c>
      <c r="M4" s="83" t="s">
        <v>241</v>
      </c>
      <c r="N4" s="50" t="s">
        <v>258</v>
      </c>
      <c r="O4" s="175" t="s">
        <v>241</v>
      </c>
      <c r="P4" s="81" t="s">
        <v>241</v>
      </c>
      <c r="Q4" s="81" t="s">
        <v>241</v>
      </c>
      <c r="R4" s="51" t="s">
        <v>241</v>
      </c>
      <c r="S4" s="175" t="s">
        <v>241</v>
      </c>
    </row>
    <row r="5" spans="1:19">
      <c r="A5" s="74" t="s">
        <v>42</v>
      </c>
      <c r="B5" s="175" t="s">
        <v>250</v>
      </c>
      <c r="C5" s="75" t="s">
        <v>252</v>
      </c>
      <c r="D5" s="175" t="s">
        <v>251</v>
      </c>
      <c r="E5" s="11" t="s">
        <v>719</v>
      </c>
      <c r="F5" s="175" t="s">
        <v>251</v>
      </c>
      <c r="G5" s="175" t="s">
        <v>251</v>
      </c>
      <c r="H5" s="83" t="s">
        <v>720</v>
      </c>
      <c r="I5" s="175" t="s">
        <v>251</v>
      </c>
      <c r="J5" s="163" t="s">
        <v>251</v>
      </c>
      <c r="K5" s="83" t="s">
        <v>252</v>
      </c>
      <c r="L5" s="175" t="s">
        <v>251</v>
      </c>
      <c r="M5" s="83" t="s">
        <v>252</v>
      </c>
      <c r="N5" s="50" t="s">
        <v>256</v>
      </c>
      <c r="O5" s="175" t="s">
        <v>253</v>
      </c>
      <c r="P5" s="83" t="s">
        <v>720</v>
      </c>
      <c r="Q5" s="83" t="s">
        <v>720</v>
      </c>
      <c r="R5" s="51" t="s">
        <v>252</v>
      </c>
      <c r="S5" s="175" t="s">
        <v>251</v>
      </c>
    </row>
    <row r="6" spans="1:19" ht="15.75" thickBot="1">
      <c r="A6" s="10" t="s">
        <v>48</v>
      </c>
      <c r="B6" s="177"/>
      <c r="C6" s="177" t="s">
        <v>251</v>
      </c>
      <c r="D6" s="177"/>
      <c r="E6" s="177" t="s">
        <v>251</v>
      </c>
      <c r="F6" s="177"/>
      <c r="G6" s="177"/>
      <c r="H6" s="71" t="s">
        <v>253</v>
      </c>
      <c r="I6" s="177"/>
      <c r="J6" s="164"/>
      <c r="K6" s="71" t="s">
        <v>251</v>
      </c>
      <c r="L6" s="177"/>
      <c r="M6" s="71" t="s">
        <v>251</v>
      </c>
      <c r="N6" s="25"/>
      <c r="O6" s="177"/>
      <c r="P6" s="71" t="s">
        <v>251</v>
      </c>
      <c r="Q6" s="71" t="s">
        <v>253</v>
      </c>
      <c r="R6" s="51" t="s">
        <v>251</v>
      </c>
      <c r="S6" s="177"/>
    </row>
    <row r="7" spans="1:19" ht="210.75" thickBot="1">
      <c r="A7" s="20" t="s">
        <v>50</v>
      </c>
      <c r="B7" s="181" t="s">
        <v>721</v>
      </c>
      <c r="C7" s="181" t="s">
        <v>722</v>
      </c>
      <c r="D7" s="181" t="s">
        <v>723</v>
      </c>
      <c r="E7" s="181" t="s">
        <v>724</v>
      </c>
      <c r="F7" s="181" t="s">
        <v>725</v>
      </c>
      <c r="G7" s="181" t="s">
        <v>726</v>
      </c>
      <c r="H7" s="82" t="s">
        <v>727</v>
      </c>
      <c r="I7" s="181" t="s">
        <v>728</v>
      </c>
      <c r="J7" s="165" t="s">
        <v>729</v>
      </c>
      <c r="K7" s="82" t="s">
        <v>730</v>
      </c>
      <c r="L7" s="181" t="s">
        <v>731</v>
      </c>
      <c r="M7" s="82" t="s">
        <v>730</v>
      </c>
      <c r="N7" s="181" t="s">
        <v>732</v>
      </c>
      <c r="O7" s="181" t="s">
        <v>733</v>
      </c>
      <c r="P7" s="82" t="s">
        <v>734</v>
      </c>
      <c r="Q7" s="82" t="s">
        <v>735</v>
      </c>
      <c r="R7" s="181" t="s">
        <v>736</v>
      </c>
      <c r="S7" s="181" t="s">
        <v>737</v>
      </c>
    </row>
    <row r="8" spans="1:19" ht="15.75" thickBot="1">
      <c r="A8" s="135" t="s">
        <v>63</v>
      </c>
      <c r="B8" s="178">
        <v>1330</v>
      </c>
      <c r="C8" s="178">
        <v>1240</v>
      </c>
      <c r="D8" s="178">
        <v>1330</v>
      </c>
      <c r="E8" s="106">
        <v>1320</v>
      </c>
      <c r="F8" s="106">
        <v>1330</v>
      </c>
      <c r="G8" s="106">
        <v>1330</v>
      </c>
      <c r="H8" s="106">
        <v>1330</v>
      </c>
      <c r="I8" s="106">
        <v>1330</v>
      </c>
      <c r="J8" s="166">
        <v>1330</v>
      </c>
      <c r="K8" s="106">
        <v>1240</v>
      </c>
      <c r="L8" s="106">
        <v>1330</v>
      </c>
      <c r="M8" s="106">
        <v>1240</v>
      </c>
      <c r="N8" s="106">
        <v>1240</v>
      </c>
      <c r="O8" s="106">
        <v>1330</v>
      </c>
      <c r="P8" s="106">
        <v>1330</v>
      </c>
      <c r="Q8" s="106">
        <v>1330</v>
      </c>
      <c r="R8" s="178">
        <v>1240</v>
      </c>
      <c r="S8" s="106">
        <v>1330</v>
      </c>
    </row>
    <row r="9" spans="1:19">
      <c r="A9" s="93"/>
      <c r="B9" s="57" t="s">
        <v>738</v>
      </c>
      <c r="C9" s="57"/>
      <c r="D9" s="57" t="s">
        <v>739</v>
      </c>
      <c r="E9" s="238"/>
      <c r="F9" s="238"/>
      <c r="G9" s="238"/>
      <c r="H9" s="238"/>
      <c r="I9" s="238"/>
      <c r="J9" s="241"/>
      <c r="K9" s="238"/>
      <c r="L9" s="238"/>
      <c r="M9" s="238"/>
      <c r="N9" s="238"/>
      <c r="O9" s="238"/>
      <c r="P9" s="238"/>
      <c r="Q9" s="238"/>
      <c r="R9" s="57"/>
      <c r="S9" s="238"/>
    </row>
    <row r="10" spans="1:19">
      <c r="A10" s="93"/>
      <c r="B10" s="57" t="s">
        <v>307</v>
      </c>
      <c r="C10" s="57"/>
      <c r="D10" s="57" t="s">
        <v>740</v>
      </c>
      <c r="E10" s="238"/>
      <c r="F10" s="238"/>
      <c r="G10" s="238"/>
      <c r="H10" s="238"/>
      <c r="I10" s="238"/>
      <c r="J10" s="241"/>
      <c r="K10" s="238"/>
      <c r="L10" s="238"/>
      <c r="M10" s="238"/>
      <c r="N10" s="238"/>
      <c r="O10" s="238"/>
      <c r="P10" s="238"/>
      <c r="Q10" s="238"/>
      <c r="R10" s="57"/>
      <c r="S10" s="238"/>
    </row>
    <row r="11" spans="1:19">
      <c r="A11" s="93"/>
      <c r="B11" s="57"/>
      <c r="C11" s="57"/>
      <c r="D11" s="57"/>
      <c r="E11" s="238"/>
      <c r="F11" s="238"/>
      <c r="G11" s="238"/>
      <c r="H11" s="238"/>
      <c r="I11" s="238"/>
      <c r="J11" s="241"/>
      <c r="K11" s="238"/>
      <c r="L11" s="238"/>
      <c r="M11" s="238"/>
      <c r="N11" s="238"/>
      <c r="O11" s="238"/>
      <c r="P11" s="238"/>
      <c r="Q11" s="238"/>
      <c r="R11" s="57"/>
      <c r="S11" s="238"/>
    </row>
    <row r="12" spans="1:19">
      <c r="A12" s="93"/>
      <c r="B12" s="57"/>
      <c r="C12" s="57"/>
      <c r="D12" s="57"/>
      <c r="E12" s="238"/>
      <c r="F12" s="238"/>
      <c r="G12" s="238"/>
      <c r="H12" s="238"/>
      <c r="I12" s="238"/>
      <c r="J12" s="241"/>
      <c r="K12" s="238"/>
      <c r="L12" s="238"/>
      <c r="M12" s="238"/>
      <c r="N12" s="238"/>
      <c r="O12" s="238"/>
      <c r="P12" s="238"/>
      <c r="Q12" s="238"/>
      <c r="R12" s="57"/>
      <c r="S12" s="238"/>
    </row>
    <row r="13" spans="1:19">
      <c r="A13" s="93"/>
      <c r="B13" s="57"/>
      <c r="C13" s="57"/>
      <c r="D13" s="57"/>
      <c r="E13" s="238"/>
      <c r="F13" s="238"/>
      <c r="G13" s="238"/>
      <c r="H13" s="238"/>
      <c r="I13" s="238"/>
      <c r="J13" s="241"/>
      <c r="K13" s="238"/>
      <c r="L13" s="238"/>
      <c r="M13" s="238"/>
      <c r="N13" s="238"/>
      <c r="O13" s="238"/>
      <c r="P13" s="238"/>
      <c r="Q13" s="238"/>
      <c r="R13" s="57"/>
      <c r="S13" s="238"/>
    </row>
    <row r="14" spans="1:19">
      <c r="A14" s="136" t="s">
        <v>81</v>
      </c>
      <c r="B14" s="133" t="s">
        <v>318</v>
      </c>
      <c r="C14" s="133" t="s">
        <v>318</v>
      </c>
      <c r="D14" s="133" t="s">
        <v>318</v>
      </c>
      <c r="E14" s="133" t="s">
        <v>318</v>
      </c>
      <c r="F14" s="133" t="s">
        <v>318</v>
      </c>
      <c r="G14" s="133" t="s">
        <v>318</v>
      </c>
      <c r="H14" s="133" t="s">
        <v>318</v>
      </c>
      <c r="I14" s="133" t="s">
        <v>318</v>
      </c>
      <c r="J14" s="167" t="s">
        <v>318</v>
      </c>
      <c r="K14" s="133" t="s">
        <v>318</v>
      </c>
      <c r="L14" s="133" t="s">
        <v>318</v>
      </c>
      <c r="M14" s="133" t="s">
        <v>318</v>
      </c>
      <c r="N14" s="133" t="s">
        <v>318</v>
      </c>
      <c r="O14" s="133" t="s">
        <v>318</v>
      </c>
      <c r="P14" s="133" t="s">
        <v>318</v>
      </c>
      <c r="Q14" s="133" t="s">
        <v>318</v>
      </c>
      <c r="R14" s="133" t="s">
        <v>318</v>
      </c>
      <c r="S14" s="133" t="s">
        <v>318</v>
      </c>
    </row>
    <row r="15" spans="1:19" s="7" customFormat="1">
      <c r="A15" s="97"/>
      <c r="B15" s="134" t="s">
        <v>556</v>
      </c>
      <c r="C15" s="134" t="s">
        <v>560</v>
      </c>
      <c r="D15" s="134" t="s">
        <v>556</v>
      </c>
      <c r="E15" s="134" t="s">
        <v>558</v>
      </c>
      <c r="F15" s="134" t="s">
        <v>556</v>
      </c>
      <c r="G15" s="134" t="s">
        <v>556</v>
      </c>
      <c r="H15" s="134" t="s">
        <v>556</v>
      </c>
      <c r="I15" s="134" t="s">
        <v>556</v>
      </c>
      <c r="J15" s="168" t="s">
        <v>556</v>
      </c>
      <c r="K15" s="134" t="s">
        <v>560</v>
      </c>
      <c r="L15" s="134" t="s">
        <v>556</v>
      </c>
      <c r="M15" s="134" t="s">
        <v>560</v>
      </c>
      <c r="N15" s="134" t="s">
        <v>560</v>
      </c>
      <c r="O15" s="134" t="s">
        <v>556</v>
      </c>
      <c r="P15" s="134" t="s">
        <v>556</v>
      </c>
      <c r="Q15" s="134" t="s">
        <v>556</v>
      </c>
      <c r="R15" s="134" t="s">
        <v>560</v>
      </c>
      <c r="S15" s="134" t="s">
        <v>556</v>
      </c>
    </row>
    <row r="16" spans="1:19">
      <c r="A16" s="14"/>
      <c r="B16" s="77" t="s">
        <v>83</v>
      </c>
      <c r="C16" s="77" t="s">
        <v>83</v>
      </c>
      <c r="D16" s="77" t="s">
        <v>83</v>
      </c>
      <c r="E16" s="77" t="s">
        <v>83</v>
      </c>
      <c r="F16" s="77" t="s">
        <v>83</v>
      </c>
      <c r="G16" s="77" t="s">
        <v>83</v>
      </c>
      <c r="H16" s="77" t="s">
        <v>83</v>
      </c>
      <c r="I16" s="77" t="s">
        <v>83</v>
      </c>
      <c r="J16" s="152" t="s">
        <v>83</v>
      </c>
      <c r="K16" s="77" t="s">
        <v>83</v>
      </c>
      <c r="L16" s="77" t="s">
        <v>83</v>
      </c>
      <c r="M16" s="77" t="s">
        <v>83</v>
      </c>
      <c r="N16" s="116" t="s">
        <v>83</v>
      </c>
      <c r="O16" s="77" t="s">
        <v>83</v>
      </c>
      <c r="P16" s="77" t="s">
        <v>83</v>
      </c>
      <c r="Q16" s="77" t="s">
        <v>83</v>
      </c>
      <c r="R16" s="116" t="s">
        <v>83</v>
      </c>
      <c r="S16" s="116" t="s">
        <v>83</v>
      </c>
    </row>
    <row r="17" spans="1:19" ht="75">
      <c r="A17" s="5" t="s">
        <v>84</v>
      </c>
      <c r="B17" s="126" t="s">
        <v>741</v>
      </c>
      <c r="C17" s="126" t="s">
        <v>741</v>
      </c>
      <c r="D17" s="126" t="s">
        <v>741</v>
      </c>
      <c r="E17" s="126" t="s">
        <v>742</v>
      </c>
      <c r="F17" s="126" t="s">
        <v>741</v>
      </c>
      <c r="G17" s="126" t="s">
        <v>741</v>
      </c>
      <c r="H17" s="126" t="s">
        <v>741</v>
      </c>
      <c r="I17" s="126" t="s">
        <v>741</v>
      </c>
      <c r="J17" s="153" t="s">
        <v>741</v>
      </c>
      <c r="K17" s="126" t="s">
        <v>741</v>
      </c>
      <c r="L17" s="126" t="s">
        <v>741</v>
      </c>
      <c r="M17" s="126" t="s">
        <v>741</v>
      </c>
      <c r="N17" s="127" t="s">
        <v>743</v>
      </c>
      <c r="O17" s="126" t="s">
        <v>741</v>
      </c>
      <c r="P17" s="126" t="s">
        <v>741</v>
      </c>
      <c r="Q17" s="126" t="s">
        <v>741</v>
      </c>
      <c r="R17" s="126" t="s">
        <v>741</v>
      </c>
      <c r="S17" s="126" t="s">
        <v>741</v>
      </c>
    </row>
    <row r="18" spans="1:19" ht="60">
      <c r="A18"/>
      <c r="B18" s="60" t="s">
        <v>328</v>
      </c>
      <c r="C18" s="60" t="s">
        <v>89</v>
      </c>
      <c r="D18" s="60" t="s">
        <v>89</v>
      </c>
      <c r="E18" s="60" t="s">
        <v>89</v>
      </c>
      <c r="F18" s="60" t="s">
        <v>89</v>
      </c>
      <c r="G18" s="60" t="s">
        <v>328</v>
      </c>
      <c r="H18" s="60" t="s">
        <v>328</v>
      </c>
      <c r="I18" s="60" t="s">
        <v>89</v>
      </c>
      <c r="J18" s="154" t="s">
        <v>89</v>
      </c>
      <c r="K18" s="19" t="s">
        <v>328</v>
      </c>
      <c r="L18" s="60" t="s">
        <v>89</v>
      </c>
      <c r="M18" s="19" t="s">
        <v>328</v>
      </c>
      <c r="N18" s="60" t="s">
        <v>337</v>
      </c>
      <c r="O18" s="60" t="s">
        <v>89</v>
      </c>
      <c r="P18" s="60" t="s">
        <v>328</v>
      </c>
      <c r="Q18" s="30" t="s">
        <v>744</v>
      </c>
      <c r="R18" s="60" t="s">
        <v>89</v>
      </c>
      <c r="S18" s="60" t="s">
        <v>328</v>
      </c>
    </row>
    <row r="19" spans="1:19" ht="185.25" customHeight="1">
      <c r="A19" s="6"/>
      <c r="B19" s="60" t="s">
        <v>745</v>
      </c>
      <c r="C19" s="19" t="s">
        <v>746</v>
      </c>
      <c r="D19" s="60" t="s">
        <v>747</v>
      </c>
      <c r="E19" s="60" t="s">
        <v>748</v>
      </c>
      <c r="F19" s="60" t="s">
        <v>749</v>
      </c>
      <c r="G19" s="60" t="s">
        <v>750</v>
      </c>
      <c r="H19" s="19" t="s">
        <v>751</v>
      </c>
      <c r="I19" s="60" t="s">
        <v>749</v>
      </c>
      <c r="J19" s="154" t="s">
        <v>749</v>
      </c>
      <c r="K19" s="19" t="s">
        <v>752</v>
      </c>
      <c r="L19" s="60" t="s">
        <v>747</v>
      </c>
      <c r="M19" s="19" t="s">
        <v>753</v>
      </c>
      <c r="N19" s="60" t="s">
        <v>754</v>
      </c>
      <c r="O19" s="60" t="s">
        <v>755</v>
      </c>
      <c r="P19" s="19" t="s">
        <v>756</v>
      </c>
      <c r="Q19" s="19" t="s">
        <v>757</v>
      </c>
      <c r="R19" s="60" t="s">
        <v>758</v>
      </c>
      <c r="S19" s="60" t="s">
        <v>759</v>
      </c>
    </row>
    <row r="20" spans="1:19" ht="90">
      <c r="A20" s="6"/>
      <c r="B20" s="19" t="s">
        <v>760</v>
      </c>
      <c r="C20" s="19" t="s">
        <v>761</v>
      </c>
      <c r="D20" s="60" t="s">
        <v>379</v>
      </c>
      <c r="E20" s="60" t="s">
        <v>762</v>
      </c>
      <c r="F20" s="19" t="s">
        <v>761</v>
      </c>
      <c r="G20" s="19" t="s">
        <v>763</v>
      </c>
      <c r="H20" s="19" t="s">
        <v>764</v>
      </c>
      <c r="I20" s="60" t="s">
        <v>379</v>
      </c>
      <c r="J20" s="154" t="s">
        <v>761</v>
      </c>
      <c r="K20" s="19" t="s">
        <v>765</v>
      </c>
      <c r="L20" s="19" t="s">
        <v>766</v>
      </c>
      <c r="M20" s="60" t="s">
        <v>760</v>
      </c>
      <c r="N20" s="60" t="s">
        <v>767</v>
      </c>
      <c r="O20" s="19" t="s">
        <v>761</v>
      </c>
      <c r="P20" s="19" t="s">
        <v>768</v>
      </c>
      <c r="Q20" s="19" t="s">
        <v>769</v>
      </c>
      <c r="R20" s="19" t="s">
        <v>770</v>
      </c>
      <c r="S20" s="60" t="s">
        <v>771</v>
      </c>
    </row>
    <row r="21" spans="1:19" ht="90">
      <c r="A21" s="47"/>
      <c r="B21" s="2"/>
      <c r="C21" s="2"/>
      <c r="D21" s="19" t="s">
        <v>766</v>
      </c>
      <c r="E21" s="60" t="s">
        <v>379</v>
      </c>
      <c r="F21" s="2"/>
      <c r="H21" s="72"/>
      <c r="I21" s="19" t="s">
        <v>761</v>
      </c>
      <c r="L21" s="2"/>
      <c r="N21" s="60" t="s">
        <v>772</v>
      </c>
      <c r="O21" s="2"/>
      <c r="P21" s="72"/>
      <c r="Q21" s="72"/>
      <c r="R21" s="19"/>
      <c r="S21" s="2"/>
    </row>
    <row r="22" spans="1:19" ht="45">
      <c r="A22" s="47"/>
      <c r="B22" s="2"/>
      <c r="C22" s="2"/>
      <c r="D22" s="17"/>
      <c r="E22" s="19" t="s">
        <v>761</v>
      </c>
      <c r="F22" s="2"/>
      <c r="G22" s="17"/>
      <c r="H22" s="72"/>
      <c r="I22" s="17"/>
      <c r="K22" s="80"/>
      <c r="L22" s="2"/>
      <c r="M22" s="80"/>
      <c r="N22" s="60" t="s">
        <v>773</v>
      </c>
      <c r="O22" s="2"/>
      <c r="P22" s="72"/>
      <c r="Q22" s="72"/>
      <c r="S22" s="2"/>
    </row>
    <row r="23" spans="1:19">
      <c r="A23" s="47"/>
      <c r="B23" s="2"/>
      <c r="C23" s="2"/>
      <c r="D23" s="17"/>
      <c r="E23" s="90"/>
      <c r="F23" s="2"/>
      <c r="G23" s="17"/>
      <c r="H23" s="72"/>
      <c r="I23" s="17"/>
      <c r="K23" s="80"/>
      <c r="L23" s="2"/>
      <c r="M23" s="80"/>
      <c r="N23" s="2"/>
      <c r="O23" s="2"/>
      <c r="P23" s="72"/>
      <c r="Q23" s="72"/>
      <c r="S23" s="2"/>
    </row>
    <row r="24" spans="1:19">
      <c r="A24" s="13" t="s">
        <v>406</v>
      </c>
      <c r="B24" s="104" t="s">
        <v>131</v>
      </c>
      <c r="C24" s="104" t="s">
        <v>131</v>
      </c>
      <c r="D24" s="104" t="s">
        <v>131</v>
      </c>
      <c r="E24" s="104" t="s">
        <v>131</v>
      </c>
      <c r="F24" s="104" t="s">
        <v>131</v>
      </c>
      <c r="G24" s="104" t="s">
        <v>131</v>
      </c>
      <c r="H24" s="104" t="s">
        <v>131</v>
      </c>
      <c r="I24" s="104" t="s">
        <v>131</v>
      </c>
      <c r="J24" s="157" t="s">
        <v>131</v>
      </c>
      <c r="K24" s="104" t="s">
        <v>131</v>
      </c>
      <c r="L24" s="104" t="s">
        <v>131</v>
      </c>
      <c r="M24" s="104" t="s">
        <v>131</v>
      </c>
      <c r="N24" s="104" t="s">
        <v>131</v>
      </c>
      <c r="O24" s="104" t="s">
        <v>131</v>
      </c>
      <c r="P24" s="104" t="s">
        <v>131</v>
      </c>
      <c r="Q24" s="104" t="s">
        <v>131</v>
      </c>
      <c r="R24" s="104" t="s">
        <v>131</v>
      </c>
      <c r="S24" s="104" t="s">
        <v>131</v>
      </c>
    </row>
    <row r="25" spans="1:19">
      <c r="A25"/>
      <c r="B25" s="104" t="s">
        <v>132</v>
      </c>
      <c r="C25" s="104" t="s">
        <v>132</v>
      </c>
      <c r="D25" s="104" t="s">
        <v>132</v>
      </c>
      <c r="E25" s="104" t="s">
        <v>132</v>
      </c>
      <c r="F25" s="104" t="s">
        <v>132</v>
      </c>
      <c r="G25" s="104" t="s">
        <v>132</v>
      </c>
      <c r="H25" s="104" t="s">
        <v>132</v>
      </c>
      <c r="I25" s="104" t="s">
        <v>132</v>
      </c>
      <c r="J25" s="157" t="s">
        <v>132</v>
      </c>
      <c r="K25" s="104" t="s">
        <v>132</v>
      </c>
      <c r="L25" s="104" t="s">
        <v>132</v>
      </c>
      <c r="M25" s="104" t="s">
        <v>132</v>
      </c>
      <c r="N25" s="104" t="s">
        <v>132</v>
      </c>
      <c r="O25" s="104" t="s">
        <v>132</v>
      </c>
      <c r="P25" s="104" t="s">
        <v>132</v>
      </c>
      <c r="Q25" s="104" t="s">
        <v>132</v>
      </c>
      <c r="R25" s="104" t="s">
        <v>132</v>
      </c>
      <c r="S25" s="104" t="s">
        <v>132</v>
      </c>
    </row>
    <row r="26" spans="1:19">
      <c r="A26" s="13"/>
      <c r="B26" s="104" t="s">
        <v>133</v>
      </c>
      <c r="C26" s="104" t="s">
        <v>133</v>
      </c>
      <c r="D26" s="104" t="s">
        <v>133</v>
      </c>
      <c r="E26" s="104" t="s">
        <v>133</v>
      </c>
      <c r="F26" s="104" t="s">
        <v>133</v>
      </c>
      <c r="G26" s="104" t="s">
        <v>133</v>
      </c>
      <c r="H26" s="104" t="s">
        <v>133</v>
      </c>
      <c r="I26" s="104" t="s">
        <v>133</v>
      </c>
      <c r="J26" s="157" t="s">
        <v>133</v>
      </c>
      <c r="K26" s="104" t="s">
        <v>133</v>
      </c>
      <c r="L26" s="104" t="s">
        <v>133</v>
      </c>
      <c r="M26" s="104" t="s">
        <v>133</v>
      </c>
      <c r="N26" s="104" t="s">
        <v>133</v>
      </c>
      <c r="O26" s="104" t="s">
        <v>133</v>
      </c>
      <c r="P26" s="104" t="s">
        <v>133</v>
      </c>
      <c r="Q26" s="104" t="s">
        <v>133</v>
      </c>
      <c r="R26" s="104" t="s">
        <v>133</v>
      </c>
      <c r="S26" s="104" t="s">
        <v>133</v>
      </c>
    </row>
    <row r="27" spans="1:19">
      <c r="A27" s="13"/>
      <c r="B27" s="12" t="s">
        <v>134</v>
      </c>
      <c r="C27" s="12" t="s">
        <v>134</v>
      </c>
      <c r="D27" s="12" t="s">
        <v>134</v>
      </c>
      <c r="E27" s="12" t="s">
        <v>134</v>
      </c>
      <c r="F27" s="12" t="s">
        <v>134</v>
      </c>
      <c r="G27" s="12" t="s">
        <v>134</v>
      </c>
      <c r="H27" s="12" t="s">
        <v>134</v>
      </c>
      <c r="I27" s="12" t="s">
        <v>134</v>
      </c>
      <c r="J27" s="157" t="s">
        <v>134</v>
      </c>
      <c r="K27" s="12" t="s">
        <v>134</v>
      </c>
      <c r="L27" s="12" t="s">
        <v>134</v>
      </c>
      <c r="M27" s="12" t="s">
        <v>134</v>
      </c>
      <c r="N27" s="12" t="s">
        <v>134</v>
      </c>
      <c r="O27" s="12" t="s">
        <v>134</v>
      </c>
      <c r="P27" s="12" t="s">
        <v>134</v>
      </c>
      <c r="Q27" s="12" t="s">
        <v>134</v>
      </c>
      <c r="R27" s="12" t="s">
        <v>134</v>
      </c>
      <c r="S27" s="12" t="s">
        <v>134</v>
      </c>
    </row>
    <row r="28" spans="1:19">
      <c r="A28" s="13"/>
      <c r="B28" s="12" t="s">
        <v>135</v>
      </c>
      <c r="C28" s="12" t="s">
        <v>135</v>
      </c>
      <c r="D28" s="12" t="s">
        <v>135</v>
      </c>
      <c r="E28" s="12" t="s">
        <v>135</v>
      </c>
      <c r="F28" s="12" t="s">
        <v>135</v>
      </c>
      <c r="G28" s="12" t="s">
        <v>135</v>
      </c>
      <c r="H28" s="12" t="s">
        <v>135</v>
      </c>
      <c r="I28" s="12" t="s">
        <v>135</v>
      </c>
      <c r="J28" s="157" t="s">
        <v>135</v>
      </c>
      <c r="K28" s="12" t="s">
        <v>135</v>
      </c>
      <c r="L28" s="12" t="s">
        <v>135</v>
      </c>
      <c r="M28" s="12" t="s">
        <v>135</v>
      </c>
      <c r="N28" s="69" t="s">
        <v>135</v>
      </c>
      <c r="O28" s="12" t="s">
        <v>135</v>
      </c>
      <c r="P28" s="12" t="s">
        <v>135</v>
      </c>
      <c r="Q28" s="12" t="s">
        <v>135</v>
      </c>
      <c r="R28" s="12" t="s">
        <v>135</v>
      </c>
      <c r="S28" s="12" t="s">
        <v>135</v>
      </c>
    </row>
    <row r="29" spans="1:19">
      <c r="A29" s="13"/>
      <c r="B29" s="12" t="s">
        <v>774</v>
      </c>
      <c r="C29" s="12" t="s">
        <v>774</v>
      </c>
      <c r="D29" s="12" t="s">
        <v>774</v>
      </c>
      <c r="E29" s="12" t="s">
        <v>774</v>
      </c>
      <c r="F29" s="12" t="s">
        <v>774</v>
      </c>
      <c r="G29" s="12" t="s">
        <v>774</v>
      </c>
      <c r="H29" s="12" t="s">
        <v>774</v>
      </c>
      <c r="I29" s="12" t="s">
        <v>774</v>
      </c>
      <c r="J29" s="157" t="s">
        <v>774</v>
      </c>
      <c r="K29" s="12" t="s">
        <v>774</v>
      </c>
      <c r="L29" s="12" t="s">
        <v>774</v>
      </c>
      <c r="M29" s="12" t="s">
        <v>774</v>
      </c>
      <c r="N29" s="69" t="s">
        <v>774</v>
      </c>
      <c r="O29" s="12" t="s">
        <v>774</v>
      </c>
      <c r="P29" s="12" t="s">
        <v>774</v>
      </c>
      <c r="Q29" s="12" t="s">
        <v>774</v>
      </c>
      <c r="R29" s="12" t="s">
        <v>774</v>
      </c>
      <c r="S29" s="12" t="s">
        <v>241</v>
      </c>
    </row>
    <row r="30" spans="1:19">
      <c r="A30" s="12"/>
      <c r="B30" s="12" t="s">
        <v>241</v>
      </c>
      <c r="C30" s="12" t="s">
        <v>241</v>
      </c>
      <c r="D30" s="12" t="s">
        <v>241</v>
      </c>
      <c r="E30" s="12" t="s">
        <v>241</v>
      </c>
      <c r="F30" s="12" t="s">
        <v>241</v>
      </c>
      <c r="G30" s="12" t="s">
        <v>241</v>
      </c>
      <c r="H30" s="12" t="s">
        <v>241</v>
      </c>
      <c r="I30" s="12" t="s">
        <v>241</v>
      </c>
      <c r="J30" s="157" t="s">
        <v>241</v>
      </c>
      <c r="K30" s="12" t="s">
        <v>241</v>
      </c>
      <c r="L30" s="12" t="s">
        <v>241</v>
      </c>
      <c r="M30" s="12" t="s">
        <v>241</v>
      </c>
      <c r="N30" s="69" t="s">
        <v>241</v>
      </c>
      <c r="O30" s="12" t="s">
        <v>241</v>
      </c>
      <c r="P30" s="12" t="s">
        <v>241</v>
      </c>
      <c r="Q30" s="12" t="s">
        <v>241</v>
      </c>
      <c r="R30" s="12" t="s">
        <v>241</v>
      </c>
      <c r="S30" s="12" t="s">
        <v>775</v>
      </c>
    </row>
    <row r="31" spans="1:19">
      <c r="A31" s="13"/>
      <c r="B31" s="69" t="s">
        <v>413</v>
      </c>
      <c r="C31" s="12" t="s">
        <v>407</v>
      </c>
      <c r="D31" s="12" t="s">
        <v>147</v>
      </c>
      <c r="E31" s="12" t="s">
        <v>409</v>
      </c>
      <c r="F31" s="12" t="s">
        <v>147</v>
      </c>
      <c r="G31" s="12" t="s">
        <v>147</v>
      </c>
      <c r="H31" s="69" t="s">
        <v>413</v>
      </c>
      <c r="I31" s="12" t="s">
        <v>147</v>
      </c>
      <c r="J31" s="157" t="s">
        <v>147</v>
      </c>
      <c r="K31" s="12" t="s">
        <v>407</v>
      </c>
      <c r="L31" s="12" t="s">
        <v>147</v>
      </c>
      <c r="M31" s="12" t="s">
        <v>407</v>
      </c>
      <c r="N31" s="12" t="s">
        <v>417</v>
      </c>
      <c r="O31" s="69" t="s">
        <v>413</v>
      </c>
      <c r="P31" s="12" t="s">
        <v>147</v>
      </c>
      <c r="Q31" s="69" t="s">
        <v>413</v>
      </c>
      <c r="R31" s="12" t="s">
        <v>407</v>
      </c>
      <c r="S31" s="12" t="s">
        <v>147</v>
      </c>
    </row>
    <row r="32" spans="1:19">
      <c r="A32" s="13"/>
      <c r="B32" s="12" t="s">
        <v>147</v>
      </c>
      <c r="C32" s="12" t="s">
        <v>147</v>
      </c>
      <c r="E32" s="12" t="s">
        <v>148</v>
      </c>
      <c r="H32" s="12" t="s">
        <v>147</v>
      </c>
      <c r="K32" s="12" t="s">
        <v>147</v>
      </c>
      <c r="M32" s="12" t="s">
        <v>147</v>
      </c>
      <c r="N32" s="12" t="s">
        <v>407</v>
      </c>
      <c r="O32" s="12" t="s">
        <v>147</v>
      </c>
      <c r="P32" s="72"/>
      <c r="Q32" s="12" t="s">
        <v>147</v>
      </c>
      <c r="R32" s="12" t="s">
        <v>147</v>
      </c>
    </row>
    <row r="33" spans="1:19">
      <c r="A33" s="13"/>
      <c r="B33" s="12"/>
      <c r="E33" s="12" t="s">
        <v>147</v>
      </c>
      <c r="N33" s="69" t="s">
        <v>421</v>
      </c>
      <c r="O33" s="12"/>
      <c r="P33" s="72"/>
    </row>
    <row r="34" spans="1:19">
      <c r="A34" s="13"/>
      <c r="B34" s="12"/>
      <c r="F34" s="69"/>
      <c r="L34" s="69"/>
      <c r="N34" s="69" t="s">
        <v>148</v>
      </c>
      <c r="O34" s="12"/>
      <c r="P34" s="72"/>
      <c r="S34" s="1"/>
    </row>
    <row r="35" spans="1:19">
      <c r="A35" s="13"/>
      <c r="B35" s="183" t="s">
        <v>149</v>
      </c>
      <c r="C35" s="183" t="s">
        <v>149</v>
      </c>
      <c r="D35" s="183" t="s">
        <v>149</v>
      </c>
      <c r="E35" s="183" t="s">
        <v>149</v>
      </c>
      <c r="F35" s="183" t="s">
        <v>149</v>
      </c>
      <c r="G35" s="183" t="s">
        <v>149</v>
      </c>
      <c r="H35" s="183" t="s">
        <v>149</v>
      </c>
      <c r="I35" s="183" t="s">
        <v>149</v>
      </c>
      <c r="J35" s="158" t="s">
        <v>149</v>
      </c>
      <c r="K35" s="183" t="s">
        <v>149</v>
      </c>
      <c r="L35" s="183" t="s">
        <v>149</v>
      </c>
      <c r="M35" s="183" t="s">
        <v>149</v>
      </c>
      <c r="N35" s="69" t="s">
        <v>146</v>
      </c>
      <c r="O35" s="12"/>
      <c r="R35" s="1"/>
      <c r="S35" s="183" t="s">
        <v>149</v>
      </c>
    </row>
    <row r="36" spans="1:19">
      <c r="A36" s="13"/>
      <c r="B36" s="183" t="s">
        <v>146</v>
      </c>
      <c r="C36" s="183" t="s">
        <v>146</v>
      </c>
      <c r="D36" s="183" t="s">
        <v>146</v>
      </c>
      <c r="E36" s="183" t="s">
        <v>146</v>
      </c>
      <c r="F36" s="183" t="s">
        <v>146</v>
      </c>
      <c r="G36" s="183" t="s">
        <v>146</v>
      </c>
      <c r="H36" s="183" t="s">
        <v>146</v>
      </c>
      <c r="I36" s="183" t="s">
        <v>146</v>
      </c>
      <c r="J36" s="158" t="s">
        <v>146</v>
      </c>
      <c r="K36" s="183" t="s">
        <v>146</v>
      </c>
      <c r="L36" s="183" t="s">
        <v>146</v>
      </c>
      <c r="M36" s="183" t="s">
        <v>146</v>
      </c>
      <c r="N36" s="69" t="s">
        <v>147</v>
      </c>
      <c r="Q36" s="183" t="s">
        <v>149</v>
      </c>
      <c r="R36" s="183" t="s">
        <v>149</v>
      </c>
      <c r="S36" s="183" t="s">
        <v>146</v>
      </c>
    </row>
    <row r="37" spans="1:19">
      <c r="A37" s="13"/>
      <c r="B37" s="107" t="s">
        <v>425</v>
      </c>
      <c r="F37" s="12"/>
      <c r="H37" s="107" t="s">
        <v>425</v>
      </c>
      <c r="K37" s="79"/>
      <c r="L37" s="12"/>
      <c r="M37" s="79"/>
      <c r="N37" s="72"/>
      <c r="Q37" s="183" t="s">
        <v>146</v>
      </c>
      <c r="R37" s="183" t="s">
        <v>146</v>
      </c>
    </row>
    <row r="38" spans="1:19">
      <c r="A38" s="13"/>
      <c r="B38" s="107" t="s">
        <v>426</v>
      </c>
      <c r="H38" s="107" t="s">
        <v>426</v>
      </c>
      <c r="N38" s="107" t="s">
        <v>149</v>
      </c>
      <c r="O38" s="183" t="s">
        <v>149</v>
      </c>
      <c r="P38" s="183" t="s">
        <v>149</v>
      </c>
      <c r="Q38" s="107" t="s">
        <v>425</v>
      </c>
    </row>
    <row r="39" spans="1:19">
      <c r="A39" s="13"/>
      <c r="H39" s="108"/>
      <c r="J39" s="157"/>
      <c r="O39" s="183" t="s">
        <v>146</v>
      </c>
      <c r="P39" s="183" t="s">
        <v>146</v>
      </c>
      <c r="Q39" s="107" t="s">
        <v>426</v>
      </c>
    </row>
    <row r="40" spans="1:19">
      <c r="A40" s="13"/>
      <c r="B40" s="12"/>
      <c r="K40" s="78"/>
      <c r="M40" s="78"/>
      <c r="O40" s="107" t="s">
        <v>425</v>
      </c>
    </row>
    <row r="41" spans="1:19">
      <c r="A41" s="13"/>
      <c r="C41" s="12"/>
      <c r="O41" s="107" t="s">
        <v>426</v>
      </c>
    </row>
    <row r="42" spans="1:19">
      <c r="O42" s="109"/>
    </row>
    <row r="44" spans="1:19">
      <c r="F44" s="12"/>
      <c r="L44" s="12"/>
    </row>
  </sheetData>
  <pageMargins left="0.7" right="0.7" top="0.75" bottom="0.75" header="0.3" footer="0.3"/>
  <pageSetup paperSize="8" scale="58" fitToWidth="0" orientation="landscape" verticalDpi="598"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2"/>
  <sheetViews>
    <sheetView topLeftCell="E1" zoomScale="80" zoomScaleNormal="80" workbookViewId="0">
      <selection activeCell="I11" sqref="I11"/>
    </sheetView>
  </sheetViews>
  <sheetFormatPr defaultColWidth="11" defaultRowHeight="14.25"/>
  <cols>
    <col min="1" max="1" width="114.875" customWidth="1"/>
    <col min="2" max="2" width="44" bestFit="1" customWidth="1"/>
    <col min="4" max="4" width="109" customWidth="1"/>
    <col min="5" max="5" width="51.5" bestFit="1" customWidth="1"/>
    <col min="9" max="9" width="38" bestFit="1" customWidth="1"/>
    <col min="11" max="11" width="35.875" bestFit="1" customWidth="1"/>
    <col min="12" max="12" width="38" bestFit="1" customWidth="1"/>
    <col min="13" max="13" width="17.625" bestFit="1" customWidth="1"/>
  </cols>
  <sheetData>
    <row r="1" spans="1:13" ht="15">
      <c r="A1" s="2" t="s">
        <v>668</v>
      </c>
      <c r="B1" s="2" t="s">
        <v>776</v>
      </c>
      <c r="D1" s="257" t="s">
        <v>669</v>
      </c>
      <c r="E1" t="s">
        <v>776</v>
      </c>
    </row>
    <row r="2" spans="1:13" ht="30">
      <c r="A2" s="2" t="s">
        <v>589</v>
      </c>
      <c r="B2" s="2" t="s">
        <v>777</v>
      </c>
      <c r="D2" s="257" t="s">
        <v>620</v>
      </c>
      <c r="E2" s="258" t="s">
        <v>778</v>
      </c>
      <c r="K2" s="261" t="s">
        <v>669</v>
      </c>
      <c r="L2" s="261" t="s">
        <v>668</v>
      </c>
      <c r="M2" s="261" t="s">
        <v>779</v>
      </c>
    </row>
    <row r="3" spans="1:13" ht="30">
      <c r="A3" s="2" t="s">
        <v>590</v>
      </c>
      <c r="B3" s="2" t="s">
        <v>777</v>
      </c>
      <c r="D3" s="257" t="s">
        <v>621</v>
      </c>
      <c r="E3" s="258" t="s">
        <v>780</v>
      </c>
      <c r="K3" t="s">
        <v>67</v>
      </c>
      <c r="L3" t="s">
        <v>537</v>
      </c>
      <c r="M3" t="s">
        <v>540</v>
      </c>
    </row>
    <row r="4" spans="1:13" ht="30">
      <c r="A4" s="2" t="s">
        <v>591</v>
      </c>
      <c r="B4" s="2" t="s">
        <v>781</v>
      </c>
      <c r="D4" s="257" t="s">
        <v>622</v>
      </c>
      <c r="E4" s="258" t="s">
        <v>782</v>
      </c>
      <c r="K4" t="s">
        <v>535</v>
      </c>
      <c r="L4" t="s">
        <v>307</v>
      </c>
      <c r="M4" t="s">
        <v>541</v>
      </c>
    </row>
    <row r="5" spans="1:13" ht="30">
      <c r="A5" s="2" t="s">
        <v>592</v>
      </c>
      <c r="B5" s="2" t="s">
        <v>777</v>
      </c>
      <c r="D5" s="257" t="s">
        <v>623</v>
      </c>
      <c r="E5" s="258" t="s">
        <v>782</v>
      </c>
      <c r="K5" t="s">
        <v>536</v>
      </c>
      <c r="L5" t="s">
        <v>308</v>
      </c>
      <c r="M5" t="s">
        <v>542</v>
      </c>
    </row>
    <row r="6" spans="1:13" ht="45">
      <c r="A6" s="2" t="s">
        <v>593</v>
      </c>
      <c r="B6" s="2" t="s">
        <v>783</v>
      </c>
      <c r="D6" s="257" t="s">
        <v>620</v>
      </c>
      <c r="E6" s="258" t="s">
        <v>778</v>
      </c>
      <c r="K6" t="s">
        <v>538</v>
      </c>
      <c r="L6" t="s">
        <v>546</v>
      </c>
      <c r="M6" t="s">
        <v>78</v>
      </c>
    </row>
    <row r="7" spans="1:13" ht="28.5">
      <c r="A7" s="2" t="s">
        <v>594</v>
      </c>
      <c r="B7" s="256" t="s">
        <v>784</v>
      </c>
      <c r="D7" s="257" t="s">
        <v>624</v>
      </c>
      <c r="E7" s="258" t="s">
        <v>778</v>
      </c>
      <c r="I7" t="s">
        <v>539</v>
      </c>
      <c r="K7" t="s">
        <v>306</v>
      </c>
      <c r="L7" t="s">
        <v>785</v>
      </c>
      <c r="M7" t="s">
        <v>543</v>
      </c>
    </row>
    <row r="8" spans="1:13" ht="30">
      <c r="A8" s="2" t="s">
        <v>595</v>
      </c>
      <c r="B8" s="256" t="s">
        <v>784</v>
      </c>
      <c r="D8" s="257" t="s">
        <v>622</v>
      </c>
      <c r="E8" s="258" t="s">
        <v>782</v>
      </c>
      <c r="K8" t="s">
        <v>786</v>
      </c>
      <c r="L8" t="s">
        <v>253</v>
      </c>
      <c r="M8" t="s">
        <v>544</v>
      </c>
    </row>
    <row r="9" spans="1:13" ht="45">
      <c r="A9" s="2" t="s">
        <v>596</v>
      </c>
      <c r="B9" s="2" t="s">
        <v>787</v>
      </c>
      <c r="D9" s="257" t="s">
        <v>625</v>
      </c>
      <c r="E9" s="258" t="s">
        <v>537</v>
      </c>
      <c r="K9" t="s">
        <v>788</v>
      </c>
      <c r="M9" t="s">
        <v>545</v>
      </c>
    </row>
    <row r="10" spans="1:13" ht="30">
      <c r="A10" s="2" t="s">
        <v>597</v>
      </c>
      <c r="B10" s="2" t="s">
        <v>777</v>
      </c>
      <c r="D10" s="257" t="s">
        <v>626</v>
      </c>
      <c r="E10" s="258" t="s">
        <v>778</v>
      </c>
      <c r="K10" t="s">
        <v>789</v>
      </c>
    </row>
    <row r="11" spans="1:13" ht="51.75" customHeight="1">
      <c r="A11" s="2" t="s">
        <v>598</v>
      </c>
      <c r="B11" s="2" t="s">
        <v>790</v>
      </c>
      <c r="D11" s="257" t="s">
        <v>627</v>
      </c>
      <c r="E11" s="258" t="s">
        <v>778</v>
      </c>
    </row>
    <row r="12" spans="1:13" ht="42.75">
      <c r="A12" s="2" t="s">
        <v>599</v>
      </c>
      <c r="B12" s="2" t="s">
        <v>781</v>
      </c>
      <c r="D12" s="257" t="s">
        <v>628</v>
      </c>
      <c r="E12" s="258" t="s">
        <v>791</v>
      </c>
    </row>
    <row r="13" spans="1:13" ht="49.5" customHeight="1">
      <c r="A13" s="2" t="s">
        <v>362</v>
      </c>
      <c r="B13" s="256" t="s">
        <v>784</v>
      </c>
      <c r="D13" s="257" t="s">
        <v>629</v>
      </c>
      <c r="E13" s="258" t="s">
        <v>778</v>
      </c>
    </row>
    <row r="14" spans="1:13" ht="30">
      <c r="A14" s="2" t="s">
        <v>600</v>
      </c>
      <c r="B14" s="2" t="s">
        <v>783</v>
      </c>
      <c r="D14" s="257" t="s">
        <v>624</v>
      </c>
      <c r="E14" s="258" t="s">
        <v>778</v>
      </c>
    </row>
    <row r="15" spans="1:13" ht="30">
      <c r="A15" s="2" t="s">
        <v>601</v>
      </c>
      <c r="B15" s="2" t="s">
        <v>777</v>
      </c>
      <c r="D15" s="257" t="s">
        <v>630</v>
      </c>
      <c r="E15" s="258" t="s">
        <v>780</v>
      </c>
    </row>
    <row r="16" spans="1:13" ht="30">
      <c r="A16" s="2" t="s">
        <v>602</v>
      </c>
      <c r="B16" s="2" t="s">
        <v>777</v>
      </c>
      <c r="D16" s="257" t="s">
        <v>631</v>
      </c>
      <c r="E16" s="258" t="s">
        <v>780</v>
      </c>
    </row>
    <row r="17" spans="1:12" ht="30">
      <c r="A17" s="2" t="s">
        <v>603</v>
      </c>
      <c r="B17" s="256" t="s">
        <v>784</v>
      </c>
      <c r="D17" s="257" t="s">
        <v>632</v>
      </c>
      <c r="E17" s="258" t="s">
        <v>778</v>
      </c>
    </row>
    <row r="18" spans="1:12" ht="45">
      <c r="A18" s="2" t="s">
        <v>604</v>
      </c>
      <c r="B18" s="256" t="s">
        <v>784</v>
      </c>
      <c r="D18" s="257" t="s">
        <v>633</v>
      </c>
      <c r="E18" s="258" t="s">
        <v>778</v>
      </c>
    </row>
    <row r="19" spans="1:12" ht="45">
      <c r="A19" s="2" t="s">
        <v>605</v>
      </c>
      <c r="B19" s="2" t="s">
        <v>781</v>
      </c>
      <c r="D19" s="257" t="s">
        <v>634</v>
      </c>
      <c r="E19" s="258" t="s">
        <v>778</v>
      </c>
    </row>
    <row r="20" spans="1:12" ht="86.25" customHeight="1">
      <c r="A20" s="2" t="s">
        <v>606</v>
      </c>
      <c r="B20" s="2" t="s">
        <v>792</v>
      </c>
      <c r="D20" s="257" t="s">
        <v>635</v>
      </c>
      <c r="E20" s="258" t="s">
        <v>78</v>
      </c>
    </row>
    <row r="21" spans="1:12" ht="30">
      <c r="A21" s="2" t="s">
        <v>607</v>
      </c>
      <c r="B21" s="2" t="s">
        <v>781</v>
      </c>
      <c r="D21" s="257" t="s">
        <v>636</v>
      </c>
      <c r="E21" s="258" t="s">
        <v>791</v>
      </c>
    </row>
    <row r="22" spans="1:12" ht="45">
      <c r="A22" s="2" t="s">
        <v>608</v>
      </c>
      <c r="B22" s="2" t="s">
        <v>793</v>
      </c>
      <c r="D22" s="257" t="s">
        <v>637</v>
      </c>
      <c r="E22" s="258" t="s">
        <v>778</v>
      </c>
    </row>
    <row r="23" spans="1:12" ht="45">
      <c r="A23" s="2" t="s">
        <v>609</v>
      </c>
      <c r="B23" s="2" t="s">
        <v>781</v>
      </c>
      <c r="D23" s="257" t="s">
        <v>636</v>
      </c>
      <c r="E23" s="258" t="s">
        <v>791</v>
      </c>
    </row>
    <row r="24" spans="1:12" ht="30">
      <c r="A24" s="90" t="s">
        <v>610</v>
      </c>
      <c r="B24" s="2" t="s">
        <v>781</v>
      </c>
      <c r="D24" s="257" t="s">
        <v>638</v>
      </c>
      <c r="E24" s="258" t="s">
        <v>791</v>
      </c>
      <c r="L24" t="s">
        <v>253</v>
      </c>
    </row>
    <row r="25" spans="1:12" ht="30">
      <c r="A25" s="90" t="s">
        <v>611</v>
      </c>
      <c r="B25" s="256" t="s">
        <v>784</v>
      </c>
      <c r="D25" s="257" t="s">
        <v>639</v>
      </c>
      <c r="E25" s="258" t="s">
        <v>778</v>
      </c>
    </row>
    <row r="26" spans="1:12" ht="44.25" customHeight="1">
      <c r="A26" s="90" t="s">
        <v>612</v>
      </c>
      <c r="B26" s="256" t="s">
        <v>784</v>
      </c>
      <c r="D26" s="257" t="s">
        <v>629</v>
      </c>
      <c r="E26" s="258" t="s">
        <v>778</v>
      </c>
    </row>
    <row r="27" spans="1:12" ht="36.75" customHeight="1">
      <c r="A27" s="2" t="s">
        <v>613</v>
      </c>
      <c r="B27" s="2" t="s">
        <v>781</v>
      </c>
      <c r="D27" s="257" t="s">
        <v>629</v>
      </c>
      <c r="E27" s="258" t="s">
        <v>778</v>
      </c>
    </row>
    <row r="28" spans="1:12" ht="30">
      <c r="A28" s="2" t="s">
        <v>614</v>
      </c>
      <c r="B28" s="2" t="s">
        <v>777</v>
      </c>
      <c r="D28" s="257" t="s">
        <v>622</v>
      </c>
      <c r="E28" s="258" t="s">
        <v>782</v>
      </c>
    </row>
    <row r="29" spans="1:12" ht="45">
      <c r="A29" s="2" t="s">
        <v>615</v>
      </c>
      <c r="B29" s="2" t="s">
        <v>794</v>
      </c>
      <c r="D29" s="257" t="s">
        <v>640</v>
      </c>
      <c r="E29" s="258" t="s">
        <v>782</v>
      </c>
    </row>
    <row r="30" spans="1:12" ht="30">
      <c r="A30" s="2" t="s">
        <v>348</v>
      </c>
      <c r="B30" s="2" t="s">
        <v>777</v>
      </c>
      <c r="D30" s="257" t="s">
        <v>641</v>
      </c>
      <c r="E30" s="258" t="s">
        <v>782</v>
      </c>
    </row>
    <row r="31" spans="1:12" ht="60">
      <c r="A31" s="2" t="s">
        <v>616</v>
      </c>
      <c r="B31" s="256" t="s">
        <v>784</v>
      </c>
      <c r="D31" s="257" t="s">
        <v>642</v>
      </c>
      <c r="E31" s="258" t="s">
        <v>782</v>
      </c>
    </row>
    <row r="32" spans="1:12" ht="40.5" customHeight="1">
      <c r="A32" s="2" t="s">
        <v>617</v>
      </c>
      <c r="B32" s="90" t="s">
        <v>795</v>
      </c>
      <c r="D32" s="257" t="s">
        <v>643</v>
      </c>
      <c r="E32" s="258" t="s">
        <v>78</v>
      </c>
    </row>
    <row r="33" spans="1:12" ht="45">
      <c r="A33" s="2" t="s">
        <v>363</v>
      </c>
      <c r="B33" s="2" t="s">
        <v>794</v>
      </c>
      <c r="D33" s="257" t="s">
        <v>644</v>
      </c>
      <c r="E33" s="259" t="s">
        <v>784</v>
      </c>
      <c r="L33" t="s">
        <v>78</v>
      </c>
    </row>
    <row r="34" spans="1:12" ht="60">
      <c r="A34" s="2" t="s">
        <v>618</v>
      </c>
      <c r="B34" s="256" t="s">
        <v>784</v>
      </c>
      <c r="D34" s="257" t="s">
        <v>645</v>
      </c>
      <c r="E34" s="259" t="s">
        <v>784</v>
      </c>
    </row>
    <row r="35" spans="1:12" ht="42.75">
      <c r="A35" s="2" t="s">
        <v>619</v>
      </c>
      <c r="B35" s="2" t="s">
        <v>796</v>
      </c>
      <c r="D35" s="257" t="s">
        <v>646</v>
      </c>
      <c r="E35" s="259" t="s">
        <v>784</v>
      </c>
    </row>
    <row r="36" spans="1:12" ht="28.5">
      <c r="D36" s="257" t="s">
        <v>379</v>
      </c>
      <c r="E36" s="259" t="s">
        <v>784</v>
      </c>
    </row>
    <row r="37" spans="1:12" ht="28.5">
      <c r="D37" s="257" t="s">
        <v>647</v>
      </c>
      <c r="E37" s="259" t="s">
        <v>784</v>
      </c>
    </row>
    <row r="38" spans="1:12" ht="28.5">
      <c r="D38" s="257" t="s">
        <v>648</v>
      </c>
      <c r="E38" s="259" t="s">
        <v>784</v>
      </c>
    </row>
    <row r="39" spans="1:12" ht="42.75">
      <c r="D39" s="257" t="s">
        <v>649</v>
      </c>
      <c r="E39" s="259" t="s">
        <v>784</v>
      </c>
    </row>
    <row r="40" spans="1:12" ht="28.5">
      <c r="D40" s="257" t="s">
        <v>650</v>
      </c>
      <c r="E40" s="259" t="s">
        <v>784</v>
      </c>
    </row>
    <row r="41" spans="1:12" ht="28.5">
      <c r="D41" s="257" t="s">
        <v>651</v>
      </c>
      <c r="E41" s="259" t="s">
        <v>784</v>
      </c>
    </row>
    <row r="42" spans="1:12">
      <c r="D42" s="257"/>
    </row>
  </sheetData>
  <pageMargins left="0.7" right="0.7" top="0.78740157499999996" bottom="0.78740157499999996" header="0.3" footer="0.3"/>
  <pageSetup paperSize="9" orientation="portrait" horizontalDpi="4294967293" verticalDpi="4294967293"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FF0000"/>
    <pageSetUpPr fitToPage="1"/>
  </sheetPr>
  <dimension ref="A1:H44"/>
  <sheetViews>
    <sheetView zoomScaleNormal="100" workbookViewId="0">
      <selection activeCell="A9" sqref="A9"/>
    </sheetView>
  </sheetViews>
  <sheetFormatPr defaultColWidth="9" defaultRowHeight="15"/>
  <cols>
    <col min="1" max="1" width="16.375" style="7" customWidth="1"/>
    <col min="2" max="2" width="42.75" style="7" customWidth="1"/>
    <col min="3" max="8" width="39.125" style="7" customWidth="1"/>
    <col min="9" max="16384" width="9" style="7"/>
  </cols>
  <sheetData>
    <row r="1" spans="1:8">
      <c r="A1" s="22"/>
      <c r="B1" s="23" t="s">
        <v>797</v>
      </c>
      <c r="C1" s="23" t="s">
        <v>798</v>
      </c>
      <c r="D1" s="23" t="s">
        <v>799</v>
      </c>
      <c r="E1" s="23" t="s">
        <v>800</v>
      </c>
      <c r="F1" s="23" t="s">
        <v>801</v>
      </c>
      <c r="G1" s="23" t="s">
        <v>802</v>
      </c>
      <c r="H1" s="23" t="s">
        <v>803</v>
      </c>
    </row>
    <row r="2" spans="1:8" ht="15.75">
      <c r="A2" s="24"/>
      <c r="B2" s="174" t="s">
        <v>804</v>
      </c>
      <c r="C2" s="18" t="s">
        <v>805</v>
      </c>
      <c r="D2" s="174" t="s">
        <v>806</v>
      </c>
      <c r="E2" s="76" t="s">
        <v>807</v>
      </c>
      <c r="F2" s="76" t="s">
        <v>808</v>
      </c>
      <c r="G2" s="76" t="s">
        <v>809</v>
      </c>
      <c r="H2" s="76" t="s">
        <v>810</v>
      </c>
    </row>
    <row r="3" spans="1:8">
      <c r="A3" s="20" t="s">
        <v>36</v>
      </c>
      <c r="B3" s="25" t="s">
        <v>811</v>
      </c>
      <c r="C3" s="25" t="s">
        <v>811</v>
      </c>
      <c r="D3" s="25" t="s">
        <v>811</v>
      </c>
      <c r="E3" s="25" t="s">
        <v>811</v>
      </c>
      <c r="F3" s="25" t="s">
        <v>811</v>
      </c>
      <c r="G3" s="25" t="s">
        <v>811</v>
      </c>
      <c r="H3" s="25" t="s">
        <v>811</v>
      </c>
    </row>
    <row r="4" spans="1:8">
      <c r="A4" s="20" t="s">
        <v>38</v>
      </c>
      <c r="B4" s="25" t="s">
        <v>812</v>
      </c>
      <c r="C4" s="25" t="s">
        <v>813</v>
      </c>
      <c r="D4" s="25" t="s">
        <v>814</v>
      </c>
      <c r="E4" s="25" t="s">
        <v>815</v>
      </c>
      <c r="F4" s="25" t="s">
        <v>816</v>
      </c>
      <c r="G4" s="25" t="s">
        <v>815</v>
      </c>
      <c r="H4" s="25" t="s">
        <v>815</v>
      </c>
    </row>
    <row r="5" spans="1:8">
      <c r="A5" s="20" t="s">
        <v>42</v>
      </c>
      <c r="B5" s="25" t="s">
        <v>817</v>
      </c>
      <c r="C5" s="25" t="s">
        <v>817</v>
      </c>
      <c r="D5" s="25" t="s">
        <v>817</v>
      </c>
      <c r="E5" s="25" t="s">
        <v>817</v>
      </c>
      <c r="F5" s="25" t="s">
        <v>818</v>
      </c>
      <c r="G5" s="25" t="s">
        <v>817</v>
      </c>
      <c r="H5" s="25" t="s">
        <v>817</v>
      </c>
    </row>
    <row r="6" spans="1:8">
      <c r="A6" s="20" t="s">
        <v>48</v>
      </c>
      <c r="B6" s="25" t="s">
        <v>819</v>
      </c>
      <c r="C6" s="25" t="s">
        <v>819</v>
      </c>
      <c r="D6" s="25" t="s">
        <v>819</v>
      </c>
      <c r="E6" s="25" t="s">
        <v>819</v>
      </c>
      <c r="F6" s="25" t="s">
        <v>819</v>
      </c>
      <c r="G6" s="25" t="s">
        <v>820</v>
      </c>
      <c r="H6" s="25" t="s">
        <v>819</v>
      </c>
    </row>
    <row r="7" spans="1:8">
      <c r="A7" s="20" t="s">
        <v>534</v>
      </c>
      <c r="B7" s="25"/>
      <c r="C7" s="25"/>
      <c r="D7" s="25"/>
      <c r="E7" s="25" t="s">
        <v>821</v>
      </c>
      <c r="F7" s="25"/>
      <c r="G7" s="25" t="s">
        <v>822</v>
      </c>
      <c r="H7" s="25" t="s">
        <v>823</v>
      </c>
    </row>
    <row r="8" spans="1:8" ht="15.75" thickBot="1">
      <c r="A8" s="20" t="s">
        <v>824</v>
      </c>
      <c r="B8" s="25"/>
      <c r="C8" s="25"/>
      <c r="D8" s="25"/>
      <c r="E8" s="25"/>
      <c r="F8" s="25"/>
      <c r="G8" s="25" t="s">
        <v>821</v>
      </c>
      <c r="H8" s="25"/>
    </row>
    <row r="9" spans="1:8" ht="236.25" customHeight="1" thickBot="1">
      <c r="A9" s="20" t="s">
        <v>50</v>
      </c>
      <c r="B9" s="181" t="s">
        <v>825</v>
      </c>
      <c r="C9" s="181" t="s">
        <v>826</v>
      </c>
      <c r="D9" s="181" t="s">
        <v>827</v>
      </c>
      <c r="E9" s="181" t="s">
        <v>828</v>
      </c>
      <c r="F9" s="181" t="s">
        <v>829</v>
      </c>
      <c r="G9" s="181" t="s">
        <v>830</v>
      </c>
      <c r="H9" s="181" t="s">
        <v>831</v>
      </c>
    </row>
    <row r="10" spans="1:8" customFormat="1" ht="24.75" customHeight="1" thickBot="1">
      <c r="A10" s="141" t="s">
        <v>63</v>
      </c>
      <c r="B10" s="98">
        <v>3100</v>
      </c>
      <c r="C10" s="178">
        <v>3100</v>
      </c>
      <c r="D10" s="178">
        <v>3100</v>
      </c>
      <c r="E10" s="178">
        <v>3100</v>
      </c>
      <c r="F10" s="178">
        <v>3100</v>
      </c>
      <c r="G10" s="178">
        <v>3100</v>
      </c>
      <c r="H10" s="178">
        <v>3100</v>
      </c>
    </row>
    <row r="11" spans="1:8" customFormat="1">
      <c r="A11" s="136" t="s">
        <v>81</v>
      </c>
      <c r="B11" s="139" t="s">
        <v>318</v>
      </c>
      <c r="C11" s="139" t="s">
        <v>318</v>
      </c>
      <c r="D11" s="139" t="s">
        <v>318</v>
      </c>
      <c r="E11" s="139" t="s">
        <v>318</v>
      </c>
      <c r="F11" s="139" t="s">
        <v>318</v>
      </c>
      <c r="G11" s="139" t="s">
        <v>318</v>
      </c>
      <c r="H11" s="139" t="s">
        <v>318</v>
      </c>
    </row>
    <row r="12" spans="1:8">
      <c r="A12" s="102"/>
      <c r="B12" s="140" t="s">
        <v>832</v>
      </c>
      <c r="C12" s="140" t="s">
        <v>832</v>
      </c>
      <c r="D12" s="140" t="s">
        <v>832</v>
      </c>
      <c r="E12" s="140" t="s">
        <v>832</v>
      </c>
      <c r="F12" s="140" t="s">
        <v>832</v>
      </c>
      <c r="G12" s="140" t="s">
        <v>832</v>
      </c>
      <c r="H12" s="140" t="s">
        <v>832</v>
      </c>
    </row>
    <row r="13" spans="1:8">
      <c r="A13" s="26"/>
      <c r="B13" s="27" t="s">
        <v>323</v>
      </c>
      <c r="C13" s="27" t="s">
        <v>323</v>
      </c>
      <c r="D13" s="27" t="s">
        <v>323</v>
      </c>
      <c r="E13" s="27" t="s">
        <v>323</v>
      </c>
      <c r="F13" s="27" t="s">
        <v>323</v>
      </c>
      <c r="G13" s="27" t="s">
        <v>323</v>
      </c>
      <c r="H13" s="27" t="s">
        <v>323</v>
      </c>
    </row>
    <row r="14" spans="1:8" ht="45">
      <c r="A14" s="21" t="s">
        <v>84</v>
      </c>
      <c r="B14" s="169" t="s">
        <v>833</v>
      </c>
      <c r="C14" s="169" t="s">
        <v>833</v>
      </c>
      <c r="D14" s="169" t="s">
        <v>833</v>
      </c>
      <c r="E14" s="169" t="s">
        <v>833</v>
      </c>
      <c r="F14" s="169" t="s">
        <v>833</v>
      </c>
      <c r="G14" s="169" t="s">
        <v>834</v>
      </c>
      <c r="H14" s="169" t="s">
        <v>833</v>
      </c>
    </row>
    <row r="15" spans="1:8" ht="90">
      <c r="B15" s="19" t="s">
        <v>835</v>
      </c>
      <c r="C15" s="186" t="s">
        <v>836</v>
      </c>
      <c r="D15" s="19" t="s">
        <v>835</v>
      </c>
      <c r="E15" s="19" t="s">
        <v>835</v>
      </c>
      <c r="F15" s="19" t="s">
        <v>837</v>
      </c>
      <c r="G15" s="19" t="s">
        <v>835</v>
      </c>
      <c r="H15" s="19" t="s">
        <v>835</v>
      </c>
    </row>
    <row r="16" spans="1:8" ht="75">
      <c r="A16" s="21"/>
      <c r="B16" s="60" t="s">
        <v>838</v>
      </c>
      <c r="C16" s="186" t="s">
        <v>839</v>
      </c>
      <c r="D16" s="60" t="s">
        <v>838</v>
      </c>
      <c r="E16" s="19" t="s">
        <v>838</v>
      </c>
      <c r="F16" s="60" t="s">
        <v>838</v>
      </c>
      <c r="G16" s="60" t="s">
        <v>362</v>
      </c>
      <c r="H16" s="19" t="s">
        <v>840</v>
      </c>
    </row>
    <row r="17" spans="1:8" ht="165">
      <c r="B17" s="60" t="s">
        <v>841</v>
      </c>
      <c r="C17" s="19" t="s">
        <v>842</v>
      </c>
      <c r="D17" s="60" t="s">
        <v>843</v>
      </c>
      <c r="E17" s="19" t="s">
        <v>844</v>
      </c>
      <c r="F17" s="60" t="s">
        <v>845</v>
      </c>
      <c r="G17" s="19" t="s">
        <v>838</v>
      </c>
      <c r="H17" s="19" t="s">
        <v>846</v>
      </c>
    </row>
    <row r="18" spans="1:8" s="2" customFormat="1" ht="151.5" customHeight="1">
      <c r="B18" s="60"/>
      <c r="C18" s="60"/>
      <c r="D18" s="60"/>
      <c r="E18" s="19"/>
      <c r="F18" s="60" t="s">
        <v>847</v>
      </c>
      <c r="G18" s="19" t="s">
        <v>844</v>
      </c>
      <c r="H18" s="19"/>
    </row>
    <row r="19" spans="1:8" s="2" customFormat="1" ht="60" customHeight="1">
      <c r="C19" s="30"/>
      <c r="D19" s="60"/>
      <c r="E19" s="60"/>
      <c r="F19" s="60"/>
      <c r="G19" s="19"/>
      <c r="H19" s="60"/>
    </row>
    <row r="20" spans="1:8" s="2" customFormat="1" ht="51" customHeight="1">
      <c r="G20" s="60"/>
    </row>
    <row r="21" spans="1:8" s="2" customFormat="1">
      <c r="A21" s="13" t="s">
        <v>406</v>
      </c>
      <c r="B21" s="104" t="s">
        <v>131</v>
      </c>
      <c r="C21" s="104" t="s">
        <v>131</v>
      </c>
      <c r="D21" s="104" t="s">
        <v>131</v>
      </c>
      <c r="E21" s="104" t="s">
        <v>131</v>
      </c>
      <c r="F21" s="104" t="s">
        <v>131</v>
      </c>
      <c r="G21" s="104" t="s">
        <v>131</v>
      </c>
      <c r="H21" s="104" t="s">
        <v>131</v>
      </c>
    </row>
    <row r="22" spans="1:8" s="2" customFormat="1">
      <c r="B22" s="104" t="s">
        <v>132</v>
      </c>
      <c r="C22" s="104" t="s">
        <v>132</v>
      </c>
      <c r="D22" s="104" t="s">
        <v>132</v>
      </c>
      <c r="E22" s="104" t="s">
        <v>132</v>
      </c>
      <c r="F22" s="104" t="s">
        <v>132</v>
      </c>
      <c r="G22" s="104" t="s">
        <v>132</v>
      </c>
      <c r="H22" s="104" t="s">
        <v>132</v>
      </c>
    </row>
    <row r="23" spans="1:8" s="2" customFormat="1">
      <c r="B23" s="29" t="s">
        <v>133</v>
      </c>
      <c r="C23" s="45" t="s">
        <v>133</v>
      </c>
      <c r="D23" s="45" t="s">
        <v>133</v>
      </c>
      <c r="E23" s="45" t="s">
        <v>133</v>
      </c>
      <c r="F23" s="29" t="s">
        <v>133</v>
      </c>
      <c r="G23" s="45" t="s">
        <v>133</v>
      </c>
      <c r="H23" s="45" t="s">
        <v>133</v>
      </c>
    </row>
    <row r="24" spans="1:8" s="44" customFormat="1">
      <c r="B24" s="46" t="s">
        <v>134</v>
      </c>
      <c r="C24" s="46" t="s">
        <v>134</v>
      </c>
      <c r="D24" s="46" t="s">
        <v>134</v>
      </c>
      <c r="E24" s="46" t="s">
        <v>134</v>
      </c>
      <c r="F24" s="46" t="s">
        <v>134</v>
      </c>
      <c r="G24" s="46" t="s">
        <v>134</v>
      </c>
      <c r="H24" s="46" t="s">
        <v>134</v>
      </c>
    </row>
    <row r="25" spans="1:8">
      <c r="B25" s="46" t="s">
        <v>135</v>
      </c>
      <c r="C25" s="46" t="s">
        <v>135</v>
      </c>
      <c r="D25" s="46" t="s">
        <v>135</v>
      </c>
      <c r="E25" s="46" t="s">
        <v>136</v>
      </c>
      <c r="F25" s="46" t="s">
        <v>848</v>
      </c>
      <c r="G25" s="46" t="s">
        <v>136</v>
      </c>
      <c r="H25" s="46" t="s">
        <v>849</v>
      </c>
    </row>
    <row r="26" spans="1:8">
      <c r="B26" s="46" t="s">
        <v>682</v>
      </c>
      <c r="C26" s="46" t="s">
        <v>682</v>
      </c>
      <c r="D26" s="46" t="s">
        <v>682</v>
      </c>
      <c r="E26" s="46" t="s">
        <v>682</v>
      </c>
      <c r="F26" s="46" t="s">
        <v>682</v>
      </c>
      <c r="G26" s="46" t="s">
        <v>682</v>
      </c>
      <c r="H26" s="46" t="s">
        <v>774</v>
      </c>
    </row>
    <row r="27" spans="1:8">
      <c r="B27" s="46" t="s">
        <v>850</v>
      </c>
      <c r="C27" s="46" t="s">
        <v>850</v>
      </c>
      <c r="D27" s="46" t="s">
        <v>850</v>
      </c>
      <c r="E27" s="46" t="s">
        <v>850</v>
      </c>
      <c r="F27" s="46" t="s">
        <v>850</v>
      </c>
      <c r="G27" s="46" t="s">
        <v>409</v>
      </c>
      <c r="H27" s="46" t="s">
        <v>851</v>
      </c>
    </row>
    <row r="28" spans="1:8">
      <c r="B28" s="46" t="s">
        <v>852</v>
      </c>
      <c r="C28" s="31" t="s">
        <v>853</v>
      </c>
      <c r="D28" s="31" t="s">
        <v>854</v>
      </c>
      <c r="E28" s="31" t="s">
        <v>854</v>
      </c>
      <c r="F28" s="46" t="s">
        <v>855</v>
      </c>
      <c r="G28" s="46" t="s">
        <v>850</v>
      </c>
      <c r="H28" s="46" t="s">
        <v>856</v>
      </c>
    </row>
    <row r="29" spans="1:8">
      <c r="B29" s="46" t="s">
        <v>857</v>
      </c>
      <c r="C29" s="31" t="s">
        <v>854</v>
      </c>
      <c r="D29" s="46" t="s">
        <v>852</v>
      </c>
      <c r="E29" s="46" t="s">
        <v>852</v>
      </c>
      <c r="F29" s="46" t="s">
        <v>852</v>
      </c>
      <c r="G29" s="31" t="s">
        <v>854</v>
      </c>
      <c r="H29" s="31" t="s">
        <v>854</v>
      </c>
    </row>
    <row r="30" spans="1:8">
      <c r="B30" s="46" t="s">
        <v>858</v>
      </c>
      <c r="C30" s="46" t="s">
        <v>852</v>
      </c>
      <c r="D30" s="31" t="s">
        <v>857</v>
      </c>
      <c r="E30" s="31" t="s">
        <v>857</v>
      </c>
      <c r="F30" s="46" t="s">
        <v>857</v>
      </c>
      <c r="G30" s="46" t="s">
        <v>148</v>
      </c>
      <c r="H30" s="46" t="s">
        <v>852</v>
      </c>
    </row>
    <row r="31" spans="1:8">
      <c r="B31" s="46" t="s">
        <v>859</v>
      </c>
      <c r="C31" s="31" t="s">
        <v>857</v>
      </c>
      <c r="D31" s="31" t="s">
        <v>858</v>
      </c>
      <c r="E31" s="31" t="s">
        <v>858</v>
      </c>
      <c r="F31" s="46" t="s">
        <v>858</v>
      </c>
      <c r="G31" s="46" t="s">
        <v>852</v>
      </c>
      <c r="H31" s="31" t="s">
        <v>857</v>
      </c>
    </row>
    <row r="32" spans="1:8">
      <c r="B32" s="46" t="s">
        <v>147</v>
      </c>
      <c r="C32" s="31" t="s">
        <v>858</v>
      </c>
      <c r="D32" s="31" t="s">
        <v>859</v>
      </c>
      <c r="E32" s="31" t="s">
        <v>859</v>
      </c>
      <c r="F32" s="46" t="s">
        <v>859</v>
      </c>
      <c r="G32" s="31" t="s">
        <v>857</v>
      </c>
      <c r="H32" s="31" t="s">
        <v>858</v>
      </c>
    </row>
    <row r="33" spans="3:8">
      <c r="C33" s="31" t="s">
        <v>859</v>
      </c>
      <c r="D33" s="46" t="s">
        <v>147</v>
      </c>
      <c r="E33" s="46" t="s">
        <v>147</v>
      </c>
      <c r="F33" s="46" t="s">
        <v>147</v>
      </c>
      <c r="G33" s="31" t="s">
        <v>858</v>
      </c>
      <c r="H33" s="31" t="s">
        <v>859</v>
      </c>
    </row>
    <row r="34" spans="3:8">
      <c r="C34" s="46" t="s">
        <v>147</v>
      </c>
      <c r="D34" s="46"/>
      <c r="E34" s="46"/>
      <c r="G34" s="31" t="s">
        <v>859</v>
      </c>
      <c r="H34" s="46" t="s">
        <v>147</v>
      </c>
    </row>
    <row r="35" spans="3:8">
      <c r="D35" s="46"/>
      <c r="E35" s="46"/>
      <c r="G35" s="46" t="s">
        <v>147</v>
      </c>
      <c r="H35" s="46"/>
    </row>
    <row r="36" spans="3:8">
      <c r="D36" s="46"/>
      <c r="E36" s="46"/>
      <c r="G36" s="46"/>
      <c r="H36" s="46"/>
    </row>
    <row r="37" spans="3:8">
      <c r="C37" s="28" t="s">
        <v>860</v>
      </c>
    </row>
    <row r="38" spans="3:8">
      <c r="E38" s="46"/>
      <c r="G38" s="46"/>
      <c r="H38" s="46"/>
    </row>
    <row r="39" spans="3:8">
      <c r="F39" s="46"/>
    </row>
    <row r="40" spans="3:8">
      <c r="D40" s="28" t="s">
        <v>860</v>
      </c>
    </row>
    <row r="43" spans="3:8">
      <c r="E43" s="28" t="s">
        <v>860</v>
      </c>
      <c r="G43" s="28" t="s">
        <v>860</v>
      </c>
      <c r="H43" s="28" t="s">
        <v>860</v>
      </c>
    </row>
    <row r="44" spans="3:8">
      <c r="F44" s="28" t="s">
        <v>860</v>
      </c>
    </row>
  </sheetData>
  <pageMargins left="0.7" right="0.7" top="0.75" bottom="0.75" header="0.3" footer="0.3"/>
  <pageSetup paperSize="8" scale="51" fitToWidth="0" orientation="landscape" verticalDpi="598"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FF0000"/>
    <pageSetUpPr fitToPage="1"/>
  </sheetPr>
  <dimension ref="A1:M47"/>
  <sheetViews>
    <sheetView zoomScaleNormal="100" workbookViewId="0">
      <selection activeCell="A2" sqref="A2"/>
    </sheetView>
  </sheetViews>
  <sheetFormatPr defaultColWidth="9" defaultRowHeight="15"/>
  <cols>
    <col min="1" max="1" width="16.375" style="7" customWidth="1"/>
    <col min="2" max="2" width="42.75" style="7" customWidth="1"/>
    <col min="3" max="3" width="39.125" style="33" customWidth="1"/>
    <col min="4" max="4" width="39.125" style="37" customWidth="1"/>
    <col min="5" max="6" width="39.125" style="7" customWidth="1"/>
    <col min="7" max="7" width="39.125" style="37" customWidth="1"/>
    <col min="8" max="8" width="40" style="33" customWidth="1"/>
    <col min="9" max="9" width="42.75" style="7" customWidth="1"/>
    <col min="10" max="11" width="39.125" style="37" customWidth="1"/>
    <col min="12" max="13" width="42.75" style="7" customWidth="1"/>
  </cols>
  <sheetData>
    <row r="1" spans="1:13">
      <c r="A1" s="144" t="s">
        <v>861</v>
      </c>
      <c r="B1" s="142" t="s">
        <v>862</v>
      </c>
      <c r="C1" s="142" t="s">
        <v>863</v>
      </c>
      <c r="D1" s="142" t="s">
        <v>864</v>
      </c>
      <c r="E1" s="142" t="s">
        <v>865</v>
      </c>
      <c r="F1" s="142" t="s">
        <v>866</v>
      </c>
      <c r="G1" s="142" t="s">
        <v>866</v>
      </c>
      <c r="H1" s="142" t="s">
        <v>867</v>
      </c>
      <c r="I1" s="142"/>
      <c r="J1" s="142" t="s">
        <v>868</v>
      </c>
      <c r="K1" s="142" t="s">
        <v>863</v>
      </c>
      <c r="L1" s="142" t="s">
        <v>862</v>
      </c>
      <c r="M1" s="143" t="s">
        <v>862</v>
      </c>
    </row>
    <row r="2" spans="1:13">
      <c r="A2" s="22"/>
      <c r="B2" s="23" t="s">
        <v>869</v>
      </c>
      <c r="C2" s="111" t="s">
        <v>870</v>
      </c>
      <c r="D2" s="111" t="s">
        <v>871</v>
      </c>
      <c r="E2" s="23" t="s">
        <v>872</v>
      </c>
      <c r="F2" s="23" t="s">
        <v>873</v>
      </c>
      <c r="G2" s="111" t="s">
        <v>874</v>
      </c>
      <c r="H2" s="111" t="s">
        <v>875</v>
      </c>
      <c r="I2" s="23" t="s">
        <v>876</v>
      </c>
      <c r="J2" s="111" t="s">
        <v>877</v>
      </c>
      <c r="K2" s="111" t="s">
        <v>878</v>
      </c>
      <c r="L2" s="23" t="s">
        <v>879</v>
      </c>
      <c r="M2" s="23" t="s">
        <v>880</v>
      </c>
    </row>
    <row r="3" spans="1:13" ht="15.75">
      <c r="A3" s="24"/>
      <c r="B3" s="174" t="s">
        <v>881</v>
      </c>
      <c r="C3" s="39" t="s">
        <v>882</v>
      </c>
      <c r="D3" s="39" t="s">
        <v>883</v>
      </c>
      <c r="E3" s="174" t="s">
        <v>884</v>
      </c>
      <c r="F3" s="174" t="s">
        <v>885</v>
      </c>
      <c r="G3" s="76" t="s">
        <v>886</v>
      </c>
      <c r="H3" s="112" t="s">
        <v>887</v>
      </c>
      <c r="I3" s="76" t="s">
        <v>888</v>
      </c>
      <c r="J3" s="76" t="s">
        <v>889</v>
      </c>
      <c r="K3" s="85" t="s">
        <v>890</v>
      </c>
      <c r="L3" s="76" t="s">
        <v>891</v>
      </c>
      <c r="M3" s="85" t="s">
        <v>892</v>
      </c>
    </row>
    <row r="4" spans="1:13">
      <c r="A4" s="20" t="s">
        <v>36</v>
      </c>
      <c r="B4" s="25" t="s">
        <v>811</v>
      </c>
      <c r="C4" s="81" t="s">
        <v>811</v>
      </c>
      <c r="D4" s="81" t="s">
        <v>811</v>
      </c>
      <c r="E4" s="25" t="s">
        <v>811</v>
      </c>
      <c r="F4" s="25" t="s">
        <v>893</v>
      </c>
      <c r="G4" s="81" t="s">
        <v>893</v>
      </c>
      <c r="H4" s="81" t="s">
        <v>811</v>
      </c>
      <c r="I4" s="25" t="s">
        <v>811</v>
      </c>
      <c r="J4" s="81" t="s">
        <v>811</v>
      </c>
      <c r="K4" s="81" t="s">
        <v>811</v>
      </c>
      <c r="L4" s="25" t="s">
        <v>811</v>
      </c>
      <c r="M4" s="25" t="s">
        <v>811</v>
      </c>
    </row>
    <row r="5" spans="1:13">
      <c r="A5" s="20" t="s">
        <v>38</v>
      </c>
      <c r="B5" s="25" t="s">
        <v>812</v>
      </c>
      <c r="C5" s="81" t="s">
        <v>813</v>
      </c>
      <c r="D5" s="81" t="s">
        <v>894</v>
      </c>
      <c r="E5" s="25" t="s">
        <v>895</v>
      </c>
      <c r="F5" s="25" t="s">
        <v>818</v>
      </c>
      <c r="G5" s="81" t="s">
        <v>818</v>
      </c>
      <c r="H5" s="81" t="s">
        <v>813</v>
      </c>
      <c r="I5" s="25" t="s">
        <v>812</v>
      </c>
      <c r="J5" s="81" t="s">
        <v>812</v>
      </c>
      <c r="K5" s="81" t="s">
        <v>813</v>
      </c>
      <c r="L5" s="25" t="s">
        <v>812</v>
      </c>
      <c r="M5" s="25" t="s">
        <v>812</v>
      </c>
    </row>
    <row r="6" spans="1:13">
      <c r="A6" s="20" t="s">
        <v>42</v>
      </c>
      <c r="B6" s="25" t="s">
        <v>817</v>
      </c>
      <c r="C6" s="81" t="s">
        <v>817</v>
      </c>
      <c r="D6" s="81" t="s">
        <v>817</v>
      </c>
      <c r="E6" s="25" t="s">
        <v>818</v>
      </c>
      <c r="F6" s="25" t="s">
        <v>896</v>
      </c>
      <c r="G6" s="81" t="s">
        <v>897</v>
      </c>
      <c r="H6" s="81" t="s">
        <v>818</v>
      </c>
      <c r="I6" s="25" t="s">
        <v>817</v>
      </c>
      <c r="J6" s="81" t="s">
        <v>818</v>
      </c>
      <c r="K6" s="81" t="s">
        <v>817</v>
      </c>
      <c r="L6" s="25" t="s">
        <v>817</v>
      </c>
      <c r="M6" s="25" t="s">
        <v>898</v>
      </c>
    </row>
    <row r="7" spans="1:13">
      <c r="A7" s="20" t="s">
        <v>48</v>
      </c>
      <c r="B7" s="25" t="s">
        <v>259</v>
      </c>
      <c r="C7" s="81" t="s">
        <v>259</v>
      </c>
      <c r="D7" s="81" t="s">
        <v>259</v>
      </c>
      <c r="E7" s="25" t="s">
        <v>897</v>
      </c>
      <c r="F7" s="25" t="s">
        <v>259</v>
      </c>
      <c r="G7" s="81" t="s">
        <v>259</v>
      </c>
      <c r="H7" s="81" t="s">
        <v>259</v>
      </c>
      <c r="I7" s="25" t="s">
        <v>259</v>
      </c>
      <c r="J7" s="81" t="s">
        <v>897</v>
      </c>
      <c r="K7" s="81" t="s">
        <v>899</v>
      </c>
      <c r="L7" s="25" t="s">
        <v>899</v>
      </c>
      <c r="M7" s="25" t="s">
        <v>259</v>
      </c>
    </row>
    <row r="8" spans="1:13" ht="15.75" thickBot="1">
      <c r="A8" s="20" t="s">
        <v>534</v>
      </c>
      <c r="B8" s="25"/>
      <c r="C8" s="81"/>
      <c r="D8" s="81"/>
      <c r="E8" s="25" t="s">
        <v>259</v>
      </c>
      <c r="F8" s="25"/>
      <c r="G8" s="81"/>
      <c r="H8" s="81"/>
      <c r="I8" s="25" t="s">
        <v>523</v>
      </c>
      <c r="J8" s="81" t="s">
        <v>259</v>
      </c>
      <c r="K8" s="81"/>
      <c r="L8" s="25"/>
      <c r="M8" s="25"/>
    </row>
    <row r="9" spans="1:13" ht="275.25" customHeight="1" thickBot="1">
      <c r="A9" s="20" t="s">
        <v>50</v>
      </c>
      <c r="B9" s="181" t="s">
        <v>900</v>
      </c>
      <c r="C9" s="82" t="s">
        <v>901</v>
      </c>
      <c r="D9" s="82" t="s">
        <v>902</v>
      </c>
      <c r="E9" s="181" t="s">
        <v>903</v>
      </c>
      <c r="F9" s="181" t="s">
        <v>904</v>
      </c>
      <c r="G9" s="82" t="s">
        <v>905</v>
      </c>
      <c r="H9" s="82" t="s">
        <v>906</v>
      </c>
      <c r="I9" s="181" t="s">
        <v>907</v>
      </c>
      <c r="J9" s="82" t="s">
        <v>908</v>
      </c>
      <c r="K9" s="82" t="s">
        <v>909</v>
      </c>
      <c r="L9" s="181" t="s">
        <v>910</v>
      </c>
      <c r="M9" s="181" t="s">
        <v>911</v>
      </c>
    </row>
    <row r="10" spans="1:13" ht="15.75" thickBot="1">
      <c r="A10" s="141" t="s">
        <v>63</v>
      </c>
      <c r="B10" s="178">
        <v>3100</v>
      </c>
      <c r="C10" s="178">
        <v>3100</v>
      </c>
      <c r="D10" s="178">
        <v>3100</v>
      </c>
      <c r="E10" s="178">
        <v>3100</v>
      </c>
      <c r="F10" s="178">
        <v>3100</v>
      </c>
      <c r="G10" s="178">
        <v>3100</v>
      </c>
      <c r="H10" s="178">
        <v>3100</v>
      </c>
      <c r="I10" s="178">
        <v>3100</v>
      </c>
      <c r="J10" s="178">
        <v>3100</v>
      </c>
      <c r="K10" s="178">
        <v>3100</v>
      </c>
      <c r="L10" s="178">
        <v>3100</v>
      </c>
      <c r="M10" s="178">
        <v>3100</v>
      </c>
    </row>
    <row r="11" spans="1:13">
      <c r="A11" s="136" t="s">
        <v>81</v>
      </c>
      <c r="B11" s="139" t="s">
        <v>318</v>
      </c>
      <c r="C11" s="139" t="s">
        <v>318</v>
      </c>
      <c r="D11" s="139" t="s">
        <v>318</v>
      </c>
      <c r="E11" s="139" t="s">
        <v>318</v>
      </c>
      <c r="F11" s="139" t="s">
        <v>318</v>
      </c>
      <c r="G11" s="139" t="s">
        <v>318</v>
      </c>
      <c r="H11" s="139" t="s">
        <v>318</v>
      </c>
      <c r="I11" s="139" t="s">
        <v>318</v>
      </c>
      <c r="J11" s="139" t="s">
        <v>318</v>
      </c>
      <c r="K11" s="139" t="s">
        <v>318</v>
      </c>
      <c r="L11" s="139" t="s">
        <v>318</v>
      </c>
      <c r="M11" s="139" t="s">
        <v>318</v>
      </c>
    </row>
    <row r="12" spans="1:13" s="7" customFormat="1">
      <c r="A12" s="102"/>
      <c r="B12" s="140" t="s">
        <v>832</v>
      </c>
      <c r="C12" s="140" t="s">
        <v>832</v>
      </c>
      <c r="D12" s="140" t="s">
        <v>832</v>
      </c>
      <c r="E12" s="140" t="s">
        <v>832</v>
      </c>
      <c r="F12" s="140" t="s">
        <v>832</v>
      </c>
      <c r="G12" s="140" t="s">
        <v>832</v>
      </c>
      <c r="H12" s="140" t="s">
        <v>832</v>
      </c>
      <c r="I12" s="140" t="s">
        <v>832</v>
      </c>
      <c r="J12" s="140" t="s">
        <v>832</v>
      </c>
      <c r="K12" s="140" t="s">
        <v>832</v>
      </c>
      <c r="L12" s="140" t="s">
        <v>832</v>
      </c>
      <c r="M12" s="140" t="s">
        <v>832</v>
      </c>
    </row>
    <row r="13" spans="1:13">
      <c r="A13" s="43"/>
      <c r="B13" s="27" t="s">
        <v>323</v>
      </c>
      <c r="C13" s="27" t="s">
        <v>323</v>
      </c>
      <c r="D13" s="27" t="s">
        <v>323</v>
      </c>
      <c r="E13" s="27" t="s">
        <v>323</v>
      </c>
      <c r="F13" s="27" t="s">
        <v>323</v>
      </c>
      <c r="G13" s="27" t="s">
        <v>323</v>
      </c>
      <c r="H13" s="36" t="s">
        <v>323</v>
      </c>
      <c r="I13" s="27" t="s">
        <v>323</v>
      </c>
      <c r="J13" s="27" t="s">
        <v>323</v>
      </c>
      <c r="K13" s="27" t="s">
        <v>323</v>
      </c>
      <c r="L13" s="27" t="s">
        <v>323</v>
      </c>
      <c r="M13" s="27" t="s">
        <v>323</v>
      </c>
    </row>
    <row r="14" spans="1:13" ht="45">
      <c r="A14" s="21" t="s">
        <v>84</v>
      </c>
      <c r="B14" s="169" t="s">
        <v>912</v>
      </c>
      <c r="C14" s="169" t="s">
        <v>912</v>
      </c>
      <c r="D14" s="169" t="s">
        <v>912</v>
      </c>
      <c r="E14" s="169" t="s">
        <v>912</v>
      </c>
      <c r="F14" s="169" t="s">
        <v>912</v>
      </c>
      <c r="G14" s="169" t="s">
        <v>912</v>
      </c>
      <c r="H14" s="169" t="s">
        <v>912</v>
      </c>
      <c r="I14" s="169" t="s">
        <v>834</v>
      </c>
      <c r="J14" s="169" t="s">
        <v>912</v>
      </c>
      <c r="K14" s="169" t="s">
        <v>912</v>
      </c>
      <c r="L14" s="169" t="s">
        <v>912</v>
      </c>
      <c r="M14" s="169" t="s">
        <v>912</v>
      </c>
    </row>
    <row r="15" spans="1:13" ht="90">
      <c r="A15"/>
      <c r="B15" s="19" t="s">
        <v>835</v>
      </c>
      <c r="C15" s="186" t="s">
        <v>836</v>
      </c>
      <c r="D15" s="19" t="s">
        <v>835</v>
      </c>
      <c r="E15" s="19" t="s">
        <v>913</v>
      </c>
      <c r="F15" s="19" t="s">
        <v>914</v>
      </c>
      <c r="G15" s="19" t="s">
        <v>914</v>
      </c>
      <c r="H15" s="186" t="s">
        <v>836</v>
      </c>
      <c r="I15" s="19" t="s">
        <v>835</v>
      </c>
      <c r="J15" s="19" t="s">
        <v>835</v>
      </c>
      <c r="K15" s="186" t="s">
        <v>836</v>
      </c>
      <c r="L15" s="19" t="s">
        <v>835</v>
      </c>
      <c r="M15" s="19" t="s">
        <v>835</v>
      </c>
    </row>
    <row r="16" spans="1:13" ht="108.75" customHeight="1">
      <c r="A16" s="169"/>
      <c r="B16" s="60" t="s">
        <v>612</v>
      </c>
      <c r="C16" s="19" t="s">
        <v>612</v>
      </c>
      <c r="D16" s="19" t="s">
        <v>612</v>
      </c>
      <c r="E16" s="60" t="s">
        <v>915</v>
      </c>
      <c r="F16" s="60" t="s">
        <v>916</v>
      </c>
      <c r="G16" s="60" t="s">
        <v>916</v>
      </c>
      <c r="H16" s="19" t="s">
        <v>612</v>
      </c>
      <c r="I16" s="60" t="s">
        <v>362</v>
      </c>
      <c r="J16" s="60" t="s">
        <v>612</v>
      </c>
      <c r="K16" s="19" t="s">
        <v>362</v>
      </c>
      <c r="L16" s="60" t="s">
        <v>362</v>
      </c>
      <c r="M16" s="60" t="s">
        <v>612</v>
      </c>
    </row>
    <row r="17" spans="1:13" ht="120">
      <c r="A17" s="21"/>
      <c r="B17" s="60" t="s">
        <v>917</v>
      </c>
      <c r="C17" s="30" t="s">
        <v>918</v>
      </c>
      <c r="D17" s="19" t="s">
        <v>919</v>
      </c>
      <c r="E17" s="60" t="s">
        <v>920</v>
      </c>
      <c r="F17" s="60" t="s">
        <v>921</v>
      </c>
      <c r="G17" s="19" t="s">
        <v>922</v>
      </c>
      <c r="H17" s="186" t="s">
        <v>923</v>
      </c>
      <c r="I17" s="60" t="s">
        <v>924</v>
      </c>
      <c r="J17" s="60" t="s">
        <v>917</v>
      </c>
      <c r="K17" s="186" t="s">
        <v>925</v>
      </c>
      <c r="L17" s="60" t="s">
        <v>917</v>
      </c>
      <c r="M17" s="60" t="s">
        <v>917</v>
      </c>
    </row>
    <row r="18" spans="1:13" ht="144.75" customHeight="1">
      <c r="B18" s="60" t="s">
        <v>926</v>
      </c>
      <c r="C18" s="30" t="s">
        <v>927</v>
      </c>
      <c r="D18" s="19" t="s">
        <v>928</v>
      </c>
      <c r="E18" s="30"/>
      <c r="F18" s="30"/>
      <c r="G18" s="30"/>
      <c r="H18" s="19" t="s">
        <v>929</v>
      </c>
      <c r="I18" s="60" t="s">
        <v>841</v>
      </c>
      <c r="J18" s="60" t="s">
        <v>930</v>
      </c>
      <c r="K18" s="19" t="s">
        <v>927</v>
      </c>
      <c r="L18" s="60" t="s">
        <v>926</v>
      </c>
      <c r="M18" s="60" t="s">
        <v>931</v>
      </c>
    </row>
    <row r="19" spans="1:13">
      <c r="A19" s="2"/>
      <c r="B19" s="30"/>
      <c r="C19" s="30"/>
      <c r="D19" s="30"/>
      <c r="H19" s="30"/>
      <c r="I19" s="30"/>
      <c r="J19" s="30"/>
      <c r="K19" s="30"/>
      <c r="L19" s="30"/>
      <c r="M19" s="30"/>
    </row>
    <row r="20" spans="1:13">
      <c r="A20" s="2"/>
      <c r="B20" s="2"/>
      <c r="C20" s="30"/>
      <c r="D20" s="19"/>
      <c r="E20" s="60"/>
      <c r="F20" s="60"/>
      <c r="G20" s="19"/>
      <c r="H20" s="19"/>
      <c r="I20" s="2"/>
      <c r="J20" s="19"/>
      <c r="K20" s="30"/>
      <c r="L20" s="2"/>
      <c r="M20" s="2"/>
    </row>
    <row r="21" spans="1:13">
      <c r="A21" s="13" t="s">
        <v>406</v>
      </c>
      <c r="B21" s="104" t="s">
        <v>131</v>
      </c>
      <c r="C21" s="104" t="s">
        <v>131</v>
      </c>
      <c r="D21" s="104" t="s">
        <v>131</v>
      </c>
      <c r="E21" s="104" t="s">
        <v>131</v>
      </c>
      <c r="F21" s="104" t="s">
        <v>131</v>
      </c>
      <c r="G21" s="104" t="s">
        <v>131</v>
      </c>
      <c r="H21" s="104" t="s">
        <v>131</v>
      </c>
      <c r="I21" s="104" t="s">
        <v>131</v>
      </c>
      <c r="J21" s="104" t="s">
        <v>131</v>
      </c>
      <c r="K21" s="104" t="s">
        <v>131</v>
      </c>
      <c r="L21" s="104" t="s">
        <v>131</v>
      </c>
      <c r="M21" s="104" t="s">
        <v>131</v>
      </c>
    </row>
    <row r="22" spans="1:13">
      <c r="A22" s="2"/>
      <c r="B22" s="104" t="s">
        <v>132</v>
      </c>
      <c r="C22" s="104" t="s">
        <v>132</v>
      </c>
      <c r="D22" s="104" t="s">
        <v>132</v>
      </c>
      <c r="E22" s="104" t="s">
        <v>132</v>
      </c>
      <c r="F22" s="104" t="s">
        <v>132</v>
      </c>
      <c r="G22" s="104" t="s">
        <v>132</v>
      </c>
      <c r="H22" s="104" t="s">
        <v>132</v>
      </c>
      <c r="I22" s="104" t="s">
        <v>132</v>
      </c>
      <c r="J22" s="104" t="s">
        <v>132</v>
      </c>
      <c r="K22" s="104" t="s">
        <v>132</v>
      </c>
      <c r="L22" s="104" t="s">
        <v>132</v>
      </c>
      <c r="M22" s="104" t="s">
        <v>132</v>
      </c>
    </row>
    <row r="23" spans="1:13">
      <c r="A23" s="2"/>
      <c r="B23" s="29" t="s">
        <v>133</v>
      </c>
      <c r="C23" s="45" t="s">
        <v>133</v>
      </c>
      <c r="D23" s="45" t="s">
        <v>133</v>
      </c>
      <c r="E23" s="45" t="s">
        <v>133</v>
      </c>
      <c r="F23" s="45" t="s">
        <v>133</v>
      </c>
      <c r="G23" s="45" t="s">
        <v>133</v>
      </c>
      <c r="H23" s="45" t="s">
        <v>133</v>
      </c>
      <c r="I23" s="29" t="s">
        <v>133</v>
      </c>
      <c r="J23" s="45" t="s">
        <v>133</v>
      </c>
      <c r="K23" s="45" t="s">
        <v>133</v>
      </c>
      <c r="L23" s="29" t="s">
        <v>133</v>
      </c>
      <c r="M23" s="29" t="s">
        <v>133</v>
      </c>
    </row>
    <row r="24" spans="1:13" s="17" customFormat="1">
      <c r="A24" s="44"/>
      <c r="B24" s="31" t="s">
        <v>134</v>
      </c>
      <c r="C24" s="31" t="s">
        <v>134</v>
      </c>
      <c r="D24" s="31" t="s">
        <v>134</v>
      </c>
      <c r="E24" s="31" t="s">
        <v>134</v>
      </c>
      <c r="F24" s="31" t="s">
        <v>134</v>
      </c>
      <c r="G24" s="31" t="s">
        <v>134</v>
      </c>
      <c r="H24" s="31" t="s">
        <v>134</v>
      </c>
      <c r="I24" s="31" t="s">
        <v>134</v>
      </c>
      <c r="J24" s="31" t="s">
        <v>134</v>
      </c>
      <c r="K24" s="31" t="s">
        <v>134</v>
      </c>
      <c r="L24" s="31" t="s">
        <v>134</v>
      </c>
      <c r="M24" s="31" t="s">
        <v>134</v>
      </c>
    </row>
    <row r="25" spans="1:13">
      <c r="B25" s="46" t="s">
        <v>135</v>
      </c>
      <c r="C25" s="46" t="s">
        <v>135</v>
      </c>
      <c r="D25" s="46" t="s">
        <v>135</v>
      </c>
      <c r="E25" s="46" t="s">
        <v>135</v>
      </c>
      <c r="F25" s="46" t="s">
        <v>135</v>
      </c>
      <c r="G25" s="46" t="s">
        <v>135</v>
      </c>
      <c r="H25" s="46" t="s">
        <v>135</v>
      </c>
      <c r="I25" s="46" t="s">
        <v>135</v>
      </c>
      <c r="J25" s="46" t="s">
        <v>135</v>
      </c>
      <c r="K25" s="46" t="s">
        <v>135</v>
      </c>
      <c r="L25" s="46" t="s">
        <v>135</v>
      </c>
      <c r="M25" s="46" t="s">
        <v>135</v>
      </c>
    </row>
    <row r="26" spans="1:13">
      <c r="B26" s="31" t="s">
        <v>674</v>
      </c>
      <c r="C26" s="31" t="s">
        <v>674</v>
      </c>
      <c r="D26" s="31" t="s">
        <v>674</v>
      </c>
      <c r="E26" s="31" t="s">
        <v>409</v>
      </c>
      <c r="F26" s="31" t="s">
        <v>409</v>
      </c>
      <c r="G26" s="31" t="s">
        <v>409</v>
      </c>
      <c r="H26" s="31" t="s">
        <v>674</v>
      </c>
      <c r="I26" s="31" t="s">
        <v>674</v>
      </c>
      <c r="J26" s="31" t="s">
        <v>674</v>
      </c>
      <c r="K26" s="31" t="s">
        <v>674</v>
      </c>
      <c r="L26" s="31" t="s">
        <v>674</v>
      </c>
      <c r="M26" s="31" t="s">
        <v>674</v>
      </c>
    </row>
    <row r="27" spans="1:13">
      <c r="B27" s="31" t="s">
        <v>409</v>
      </c>
      <c r="C27" s="31" t="s">
        <v>409</v>
      </c>
      <c r="D27" s="31" t="s">
        <v>409</v>
      </c>
      <c r="E27" s="46" t="s">
        <v>852</v>
      </c>
      <c r="F27" s="46" t="s">
        <v>852</v>
      </c>
      <c r="G27" s="46" t="s">
        <v>852</v>
      </c>
      <c r="H27" s="31" t="s">
        <v>409</v>
      </c>
      <c r="I27" s="46" t="s">
        <v>682</v>
      </c>
      <c r="J27" s="31" t="s">
        <v>409</v>
      </c>
      <c r="K27" s="31" t="s">
        <v>409</v>
      </c>
      <c r="L27" s="31" t="s">
        <v>409</v>
      </c>
      <c r="M27" s="31" t="s">
        <v>409</v>
      </c>
    </row>
    <row r="28" spans="1:13">
      <c r="B28" s="31" t="s">
        <v>852</v>
      </c>
      <c r="C28" s="31" t="s">
        <v>853</v>
      </c>
      <c r="D28" s="31" t="s">
        <v>854</v>
      </c>
      <c r="E28" s="31" t="s">
        <v>857</v>
      </c>
      <c r="F28" s="31" t="s">
        <v>857</v>
      </c>
      <c r="G28" s="31" t="s">
        <v>857</v>
      </c>
      <c r="H28" s="31" t="s">
        <v>855</v>
      </c>
      <c r="I28" s="46" t="s">
        <v>850</v>
      </c>
      <c r="J28" s="46" t="s">
        <v>852</v>
      </c>
      <c r="K28" s="31" t="s">
        <v>853</v>
      </c>
      <c r="L28" s="31" t="s">
        <v>852</v>
      </c>
      <c r="M28" s="31" t="s">
        <v>852</v>
      </c>
    </row>
    <row r="29" spans="1:13">
      <c r="B29" s="31" t="s">
        <v>857</v>
      </c>
      <c r="C29" s="31" t="s">
        <v>854</v>
      </c>
      <c r="D29" s="31" t="s">
        <v>852</v>
      </c>
      <c r="E29" s="31" t="s">
        <v>148</v>
      </c>
      <c r="F29" s="31" t="s">
        <v>148</v>
      </c>
      <c r="G29" s="31" t="s">
        <v>148</v>
      </c>
      <c r="H29" s="31" t="s">
        <v>852</v>
      </c>
      <c r="I29" s="31" t="s">
        <v>409</v>
      </c>
      <c r="J29" s="31" t="s">
        <v>857</v>
      </c>
      <c r="K29" s="31" t="s">
        <v>854</v>
      </c>
      <c r="L29" s="31" t="s">
        <v>857</v>
      </c>
      <c r="M29" s="31" t="s">
        <v>857</v>
      </c>
    </row>
    <row r="30" spans="1:13">
      <c r="B30" s="31" t="s">
        <v>148</v>
      </c>
      <c r="C30" s="31" t="s">
        <v>852</v>
      </c>
      <c r="D30" s="31" t="s">
        <v>857</v>
      </c>
      <c r="E30" s="31" t="s">
        <v>858</v>
      </c>
      <c r="F30" s="31" t="s">
        <v>147</v>
      </c>
      <c r="G30" s="31" t="s">
        <v>932</v>
      </c>
      <c r="H30" s="31" t="s">
        <v>857</v>
      </c>
      <c r="I30" s="31" t="s">
        <v>852</v>
      </c>
      <c r="J30" s="31" t="s">
        <v>148</v>
      </c>
      <c r="K30" s="31" t="s">
        <v>852</v>
      </c>
      <c r="L30" s="31" t="s">
        <v>148</v>
      </c>
      <c r="M30" s="31" t="s">
        <v>148</v>
      </c>
    </row>
    <row r="31" spans="1:13">
      <c r="B31" s="31" t="s">
        <v>858</v>
      </c>
      <c r="C31" s="31" t="s">
        <v>857</v>
      </c>
      <c r="D31" s="31" t="s">
        <v>148</v>
      </c>
      <c r="E31" s="46" t="s">
        <v>859</v>
      </c>
      <c r="F31" s="46"/>
      <c r="G31" s="31" t="s">
        <v>147</v>
      </c>
      <c r="H31" s="46" t="s">
        <v>148</v>
      </c>
      <c r="I31" s="31" t="s">
        <v>857</v>
      </c>
      <c r="J31" s="31" t="s">
        <v>858</v>
      </c>
      <c r="K31" s="31" t="s">
        <v>857</v>
      </c>
      <c r="L31" s="31" t="s">
        <v>858</v>
      </c>
      <c r="M31" s="31" t="s">
        <v>858</v>
      </c>
    </row>
    <row r="32" spans="1:13">
      <c r="B32" s="46" t="s">
        <v>859</v>
      </c>
      <c r="C32" s="31" t="s">
        <v>148</v>
      </c>
      <c r="D32" s="31" t="s">
        <v>858</v>
      </c>
      <c r="E32" s="31" t="s">
        <v>932</v>
      </c>
      <c r="F32" s="46"/>
      <c r="H32" s="31" t="s">
        <v>858</v>
      </c>
      <c r="I32" s="31" t="s">
        <v>148</v>
      </c>
      <c r="J32" s="46" t="s">
        <v>859</v>
      </c>
      <c r="K32" s="31" t="s">
        <v>148</v>
      </c>
      <c r="L32" s="46" t="s">
        <v>859</v>
      </c>
      <c r="M32" s="46" t="s">
        <v>859</v>
      </c>
    </row>
    <row r="33" spans="2:13">
      <c r="B33" s="31" t="s">
        <v>147</v>
      </c>
      <c r="C33" s="31" t="s">
        <v>858</v>
      </c>
      <c r="D33" s="31" t="s">
        <v>859</v>
      </c>
      <c r="E33" s="31" t="s">
        <v>147</v>
      </c>
      <c r="H33" s="31" t="s">
        <v>859</v>
      </c>
      <c r="I33" s="31" t="s">
        <v>858</v>
      </c>
      <c r="J33" s="31" t="s">
        <v>147</v>
      </c>
      <c r="K33" s="31" t="s">
        <v>858</v>
      </c>
      <c r="L33" s="31" t="s">
        <v>147</v>
      </c>
      <c r="M33" s="31" t="s">
        <v>147</v>
      </c>
    </row>
    <row r="34" spans="2:13">
      <c r="C34" s="31" t="s">
        <v>859</v>
      </c>
      <c r="D34" s="31" t="s">
        <v>147</v>
      </c>
      <c r="E34" s="46"/>
      <c r="H34" s="31" t="s">
        <v>147</v>
      </c>
      <c r="I34" s="46" t="s">
        <v>859</v>
      </c>
      <c r="K34" s="31" t="s">
        <v>859</v>
      </c>
    </row>
    <row r="35" spans="2:13">
      <c r="C35" s="31" t="s">
        <v>147</v>
      </c>
      <c r="H35" s="29"/>
      <c r="I35" s="31" t="s">
        <v>147</v>
      </c>
      <c r="K35" s="31" t="s">
        <v>147</v>
      </c>
    </row>
    <row r="36" spans="2:13">
      <c r="G36" s="31"/>
      <c r="H36" s="45"/>
      <c r="K36" s="33"/>
    </row>
    <row r="37" spans="2:13">
      <c r="C37" s="37"/>
      <c r="D37" s="38"/>
      <c r="F37" s="46"/>
      <c r="H37" s="31"/>
      <c r="J37" s="38" t="s">
        <v>860</v>
      </c>
    </row>
    <row r="38" spans="2:13">
      <c r="C38" s="37"/>
      <c r="H38" s="31"/>
      <c r="I38" s="29"/>
    </row>
    <row r="39" spans="2:13">
      <c r="C39" s="37"/>
      <c r="E39" s="28" t="s">
        <v>860</v>
      </c>
      <c r="H39" s="31"/>
      <c r="I39" s="46"/>
    </row>
    <row r="40" spans="2:13">
      <c r="C40" s="38" t="s">
        <v>860</v>
      </c>
      <c r="H40" s="31"/>
      <c r="I40" s="46"/>
    </row>
    <row r="41" spans="2:13">
      <c r="G41" s="38" t="s">
        <v>860</v>
      </c>
      <c r="H41" s="31"/>
      <c r="I41" s="46"/>
    </row>
    <row r="42" spans="2:13">
      <c r="F42" s="28" t="s">
        <v>860</v>
      </c>
      <c r="H42" s="31"/>
      <c r="I42" s="46"/>
    </row>
    <row r="43" spans="2:13">
      <c r="H43" s="31"/>
      <c r="I43" s="46"/>
    </row>
    <row r="44" spans="2:13">
      <c r="H44" s="31"/>
      <c r="I44" s="46"/>
    </row>
    <row r="45" spans="2:13">
      <c r="H45" s="31"/>
      <c r="I45" s="46"/>
    </row>
    <row r="46" spans="2:13">
      <c r="H46" s="31"/>
      <c r="I46" s="46"/>
    </row>
    <row r="47" spans="2:13">
      <c r="I47" s="46"/>
    </row>
  </sheetData>
  <pageMargins left="0.7" right="0.7" top="0.75" bottom="0.75" header="0.3" footer="0.3"/>
  <pageSetup paperSize="8" scale="56" fitToWidth="0" orientation="landscape" verticalDpi="598"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00B050"/>
    <pageSetUpPr fitToPage="1"/>
  </sheetPr>
  <dimension ref="A1:Z51"/>
  <sheetViews>
    <sheetView zoomScaleNormal="100" workbookViewId="0">
      <pane xSplit="1" ySplit="10" topLeftCell="B11" activePane="bottomRight" state="frozen"/>
      <selection pane="bottomRight" activeCell="Q8" sqref="Q8"/>
      <selection pane="bottomLeft" activeCell="A12" sqref="A12"/>
      <selection pane="topRight" activeCell="B1" sqref="B1"/>
    </sheetView>
  </sheetViews>
  <sheetFormatPr defaultColWidth="9" defaultRowHeight="15"/>
  <cols>
    <col min="1" max="1" width="16.375" style="7" customWidth="1"/>
    <col min="2" max="4" width="32.625" style="7" customWidth="1"/>
    <col min="5" max="6" width="32.625" style="37" customWidth="1"/>
    <col min="7" max="9" width="32.625" style="7" customWidth="1"/>
    <col min="10" max="10" width="32.625" style="1" customWidth="1"/>
    <col min="11" max="11" width="32.625" style="37" customWidth="1"/>
    <col min="12" max="13" width="32.625" style="1" customWidth="1"/>
    <col min="14" max="17" width="32.625" style="33" customWidth="1"/>
    <col min="18" max="20" width="32.625" style="1" customWidth="1"/>
    <col min="21" max="21" width="32.625" style="33" customWidth="1"/>
    <col min="22" max="23" width="32.625" style="7" customWidth="1"/>
    <col min="24" max="24" width="9" customWidth="1"/>
    <col min="25" max="25" width="6.375" customWidth="1"/>
    <col min="26" max="26" width="7.875" customWidth="1"/>
  </cols>
  <sheetData>
    <row r="1" spans="1:26">
      <c r="A1" s="22"/>
      <c r="B1" s="23"/>
      <c r="C1" s="23" t="s">
        <v>933</v>
      </c>
      <c r="D1" s="23" t="s">
        <v>934</v>
      </c>
      <c r="E1" s="111" t="s">
        <v>935</v>
      </c>
      <c r="F1" s="89" t="s">
        <v>936</v>
      </c>
      <c r="G1" s="231" t="s">
        <v>937</v>
      </c>
      <c r="H1" s="231" t="s">
        <v>938</v>
      </c>
      <c r="I1" s="231" t="s">
        <v>939</v>
      </c>
      <c r="J1" s="233" t="s">
        <v>940</v>
      </c>
      <c r="K1" s="229" t="s">
        <v>941</v>
      </c>
      <c r="L1" s="233" t="s">
        <v>942</v>
      </c>
      <c r="M1" s="233" t="s">
        <v>943</v>
      </c>
      <c r="N1" s="229" t="s">
        <v>944</v>
      </c>
      <c r="O1" s="229" t="s">
        <v>945</v>
      </c>
      <c r="P1" s="229" t="s">
        <v>946</v>
      </c>
      <c r="Q1" s="229" t="s">
        <v>947</v>
      </c>
      <c r="R1" s="233" t="s">
        <v>948</v>
      </c>
      <c r="S1" s="233" t="s">
        <v>949</v>
      </c>
      <c r="T1" s="233" t="s">
        <v>950</v>
      </c>
      <c r="U1" s="231" t="s">
        <v>951</v>
      </c>
      <c r="V1" s="231" t="s">
        <v>952</v>
      </c>
      <c r="W1" s="231" t="s">
        <v>953</v>
      </c>
    </row>
    <row r="2" spans="1:26" ht="15.75">
      <c r="A2" s="24"/>
      <c r="B2" s="227" t="s">
        <v>954</v>
      </c>
      <c r="C2" s="227" t="s">
        <v>955</v>
      </c>
      <c r="D2" s="230" t="s">
        <v>956</v>
      </c>
      <c r="E2" s="226" t="s">
        <v>957</v>
      </c>
      <c r="F2" s="227" t="s">
        <v>958</v>
      </c>
      <c r="G2" s="84" t="s">
        <v>959</v>
      </c>
      <c r="H2" s="84" t="s">
        <v>960</v>
      </c>
      <c r="I2" s="84" t="s">
        <v>961</v>
      </c>
      <c r="J2" s="42" t="s">
        <v>962</v>
      </c>
      <c r="K2" s="84" t="s">
        <v>963</v>
      </c>
      <c r="L2" s="42" t="s">
        <v>964</v>
      </c>
      <c r="M2" s="84" t="s">
        <v>965</v>
      </c>
      <c r="N2" s="39" t="s">
        <v>966</v>
      </c>
      <c r="O2" s="112" t="s">
        <v>967</v>
      </c>
      <c r="P2" s="39" t="s">
        <v>968</v>
      </c>
      <c r="Q2" s="39" t="s">
        <v>969</v>
      </c>
      <c r="R2" s="84" t="s">
        <v>970</v>
      </c>
      <c r="S2" s="42" t="s">
        <v>971</v>
      </c>
      <c r="T2" s="84" t="s">
        <v>972</v>
      </c>
      <c r="U2" s="42" t="s">
        <v>973</v>
      </c>
      <c r="V2" s="84" t="s">
        <v>974</v>
      </c>
      <c r="W2" s="84" t="s">
        <v>975</v>
      </c>
    </row>
    <row r="3" spans="1:26">
      <c r="A3" s="20" t="s">
        <v>36</v>
      </c>
      <c r="B3" s="25" t="s">
        <v>811</v>
      </c>
      <c r="C3" s="25" t="s">
        <v>811</v>
      </c>
      <c r="D3" s="25" t="s">
        <v>811</v>
      </c>
      <c r="E3" s="81" t="s">
        <v>811</v>
      </c>
      <c r="F3" s="81" t="s">
        <v>811</v>
      </c>
      <c r="G3" s="25" t="s">
        <v>811</v>
      </c>
      <c r="H3" s="25" t="s">
        <v>811</v>
      </c>
      <c r="I3" s="25" t="s">
        <v>811</v>
      </c>
      <c r="J3" s="64" t="s">
        <v>811</v>
      </c>
      <c r="K3" s="81" t="s">
        <v>811</v>
      </c>
      <c r="L3" s="64" t="s">
        <v>811</v>
      </c>
      <c r="M3" s="64" t="s">
        <v>811</v>
      </c>
      <c r="N3" s="81" t="s">
        <v>811</v>
      </c>
      <c r="O3" s="81" t="s">
        <v>811</v>
      </c>
      <c r="P3" s="81" t="s">
        <v>811</v>
      </c>
      <c r="Q3" s="81" t="s">
        <v>811</v>
      </c>
      <c r="R3" s="64" t="s">
        <v>811</v>
      </c>
      <c r="S3" s="64" t="s">
        <v>811</v>
      </c>
      <c r="T3" s="64" t="s">
        <v>811</v>
      </c>
      <c r="U3" s="25" t="s">
        <v>893</v>
      </c>
      <c r="V3" s="25" t="s">
        <v>976</v>
      </c>
      <c r="W3" s="25" t="s">
        <v>811</v>
      </c>
    </row>
    <row r="4" spans="1:26">
      <c r="A4" s="20" t="s">
        <v>38</v>
      </c>
      <c r="B4" s="25" t="s">
        <v>894</v>
      </c>
      <c r="C4" s="25" t="s">
        <v>894</v>
      </c>
      <c r="D4" s="25" t="s">
        <v>812</v>
      </c>
      <c r="E4" s="81" t="s">
        <v>812</v>
      </c>
      <c r="F4" s="81" t="s">
        <v>812</v>
      </c>
      <c r="G4" s="25" t="s">
        <v>812</v>
      </c>
      <c r="H4" s="25" t="s">
        <v>812</v>
      </c>
      <c r="I4" s="25" t="s">
        <v>812</v>
      </c>
      <c r="J4" s="50" t="s">
        <v>812</v>
      </c>
      <c r="K4" s="81" t="s">
        <v>812</v>
      </c>
      <c r="L4" s="50" t="s">
        <v>812</v>
      </c>
      <c r="M4" s="50" t="s">
        <v>812</v>
      </c>
      <c r="N4" s="81" t="s">
        <v>813</v>
      </c>
      <c r="O4" s="81" t="s">
        <v>813</v>
      </c>
      <c r="P4" s="81" t="s">
        <v>813</v>
      </c>
      <c r="Q4" s="81" t="s">
        <v>813</v>
      </c>
      <c r="R4" s="50" t="s">
        <v>813</v>
      </c>
      <c r="S4" s="50" t="s">
        <v>813</v>
      </c>
      <c r="T4" s="50" t="s">
        <v>813</v>
      </c>
      <c r="U4" s="25" t="s">
        <v>818</v>
      </c>
      <c r="V4" s="25" t="s">
        <v>817</v>
      </c>
      <c r="W4" s="25" t="s">
        <v>895</v>
      </c>
    </row>
    <row r="5" spans="1:26">
      <c r="A5" s="20" t="s">
        <v>42</v>
      </c>
      <c r="B5" s="25" t="s">
        <v>817</v>
      </c>
      <c r="C5" s="25" t="s">
        <v>817</v>
      </c>
      <c r="D5" s="25" t="s">
        <v>817</v>
      </c>
      <c r="E5" s="81" t="s">
        <v>898</v>
      </c>
      <c r="F5" s="81" t="s">
        <v>977</v>
      </c>
      <c r="G5" s="25" t="s">
        <v>817</v>
      </c>
      <c r="H5" s="25" t="s">
        <v>817</v>
      </c>
      <c r="I5" s="25" t="s">
        <v>817</v>
      </c>
      <c r="J5" s="25" t="s">
        <v>249</v>
      </c>
      <c r="K5" s="81" t="s">
        <v>818</v>
      </c>
      <c r="L5" s="25" t="s">
        <v>249</v>
      </c>
      <c r="M5" s="25" t="s">
        <v>249</v>
      </c>
      <c r="N5" s="81" t="s">
        <v>818</v>
      </c>
      <c r="O5" s="81" t="s">
        <v>818</v>
      </c>
      <c r="P5" s="81" t="s">
        <v>817</v>
      </c>
      <c r="Q5" s="81" t="s">
        <v>817</v>
      </c>
      <c r="R5" s="25" t="s">
        <v>978</v>
      </c>
      <c r="S5" s="25" t="s">
        <v>249</v>
      </c>
      <c r="T5" s="25" t="s">
        <v>249</v>
      </c>
      <c r="U5" s="25" t="s">
        <v>896</v>
      </c>
      <c r="V5" s="25" t="s">
        <v>245</v>
      </c>
      <c r="W5" s="25" t="s">
        <v>818</v>
      </c>
    </row>
    <row r="6" spans="1:26" ht="45">
      <c r="A6" s="20" t="s">
        <v>48</v>
      </c>
      <c r="B6" s="25" t="s">
        <v>245</v>
      </c>
      <c r="C6" s="25" t="s">
        <v>245</v>
      </c>
      <c r="D6" s="25" t="s">
        <v>245</v>
      </c>
      <c r="E6" s="81" t="s">
        <v>245</v>
      </c>
      <c r="F6" s="81" t="s">
        <v>897</v>
      </c>
      <c r="G6" s="25" t="s">
        <v>979</v>
      </c>
      <c r="H6" s="25" t="s">
        <v>245</v>
      </c>
      <c r="I6" s="25" t="s">
        <v>820</v>
      </c>
      <c r="J6" s="50" t="s">
        <v>258</v>
      </c>
      <c r="K6" s="81" t="s">
        <v>897</v>
      </c>
      <c r="L6" s="50" t="s">
        <v>980</v>
      </c>
      <c r="M6" s="50" t="s">
        <v>981</v>
      </c>
      <c r="N6" s="81" t="s">
        <v>245</v>
      </c>
      <c r="O6" s="81" t="s">
        <v>245</v>
      </c>
      <c r="P6" s="81" t="s">
        <v>245</v>
      </c>
      <c r="Q6" s="81" t="s">
        <v>245</v>
      </c>
      <c r="R6" s="50" t="s">
        <v>817</v>
      </c>
      <c r="S6" s="50" t="s">
        <v>258</v>
      </c>
      <c r="T6" s="50" t="s">
        <v>982</v>
      </c>
      <c r="U6" s="25" t="s">
        <v>245</v>
      </c>
      <c r="V6" s="25"/>
      <c r="W6" s="25" t="s">
        <v>896</v>
      </c>
    </row>
    <row r="7" spans="1:26">
      <c r="A7" s="20"/>
      <c r="B7" s="25"/>
      <c r="C7" s="25"/>
      <c r="D7" s="25"/>
      <c r="E7" s="81"/>
      <c r="F7" s="81" t="s">
        <v>245</v>
      </c>
      <c r="G7" s="25"/>
      <c r="H7" s="25"/>
      <c r="I7" s="25" t="s">
        <v>983</v>
      </c>
      <c r="J7" s="50"/>
      <c r="K7" s="81" t="s">
        <v>259</v>
      </c>
      <c r="L7" s="50" t="s">
        <v>984</v>
      </c>
      <c r="M7" s="50"/>
      <c r="N7" s="81"/>
      <c r="O7" s="81"/>
      <c r="P7" s="81"/>
      <c r="Q7" s="81"/>
      <c r="R7" s="50"/>
      <c r="S7" s="50"/>
      <c r="T7" s="50"/>
      <c r="U7" s="25"/>
      <c r="V7" s="25"/>
      <c r="W7" s="25"/>
    </row>
    <row r="8" spans="1:26" ht="15.75" thickBot="1">
      <c r="A8" s="20" t="s">
        <v>534</v>
      </c>
      <c r="B8" s="25"/>
      <c r="C8" s="25" t="s">
        <v>985</v>
      </c>
      <c r="D8" s="25"/>
      <c r="E8" s="81"/>
      <c r="F8" s="81"/>
      <c r="G8" s="25"/>
      <c r="H8" s="73" t="s">
        <v>985</v>
      </c>
      <c r="I8" s="25"/>
      <c r="J8" s="66" t="s">
        <v>817</v>
      </c>
      <c r="K8" s="88" t="s">
        <v>245</v>
      </c>
      <c r="L8" s="66" t="s">
        <v>817</v>
      </c>
      <c r="M8" s="66" t="s">
        <v>817</v>
      </c>
      <c r="N8" s="81"/>
      <c r="O8" s="81" t="s">
        <v>985</v>
      </c>
      <c r="P8" s="81"/>
      <c r="Q8" s="81" t="s">
        <v>985</v>
      </c>
      <c r="R8" s="66"/>
      <c r="S8" s="66" t="s">
        <v>817</v>
      </c>
      <c r="T8" s="66" t="s">
        <v>817</v>
      </c>
      <c r="U8" s="25"/>
      <c r="V8" s="25"/>
      <c r="W8" s="25" t="s">
        <v>245</v>
      </c>
    </row>
    <row r="9" spans="1:26" ht="12.75" customHeight="1" thickBot="1">
      <c r="A9" s="20" t="s">
        <v>50</v>
      </c>
      <c r="B9" s="181" t="s">
        <v>986</v>
      </c>
      <c r="C9" s="181" t="s">
        <v>987</v>
      </c>
      <c r="D9" s="181" t="s">
        <v>988</v>
      </c>
      <c r="E9" s="82" t="s">
        <v>989</v>
      </c>
      <c r="F9" s="86" t="s">
        <v>990</v>
      </c>
      <c r="G9" s="181" t="s">
        <v>991</v>
      </c>
      <c r="H9" s="181" t="s">
        <v>992</v>
      </c>
      <c r="I9" s="181" t="s">
        <v>993</v>
      </c>
      <c r="J9" s="58" t="s">
        <v>994</v>
      </c>
      <c r="K9" s="87" t="s">
        <v>995</v>
      </c>
      <c r="L9" s="181" t="s">
        <v>996</v>
      </c>
      <c r="M9" s="58" t="s">
        <v>997</v>
      </c>
      <c r="N9" s="82" t="s">
        <v>998</v>
      </c>
      <c r="O9" s="82" t="s">
        <v>999</v>
      </c>
      <c r="P9" s="82" t="s">
        <v>1000</v>
      </c>
      <c r="Q9" s="82" t="s">
        <v>1001</v>
      </c>
      <c r="R9" s="181" t="s">
        <v>1002</v>
      </c>
      <c r="S9" s="181" t="s">
        <v>1003</v>
      </c>
      <c r="T9" s="181" t="s">
        <v>1004</v>
      </c>
      <c r="U9" s="181" t="s">
        <v>1005</v>
      </c>
      <c r="V9" s="181" t="s">
        <v>1006</v>
      </c>
      <c r="W9" s="181" t="s">
        <v>1007</v>
      </c>
    </row>
    <row r="10" spans="1:26" ht="15.75" thickBot="1">
      <c r="A10" s="141" t="s">
        <v>63</v>
      </c>
      <c r="B10" s="178">
        <v>3100</v>
      </c>
      <c r="C10" s="178">
        <v>3100</v>
      </c>
      <c r="D10" s="178">
        <v>3100</v>
      </c>
      <c r="E10" s="178">
        <v>3100</v>
      </c>
      <c r="F10" s="178">
        <v>3100</v>
      </c>
      <c r="G10" s="178">
        <v>3100</v>
      </c>
      <c r="H10" s="178">
        <v>3100</v>
      </c>
      <c r="I10" s="178">
        <v>3100</v>
      </c>
      <c r="J10" s="178">
        <v>3100</v>
      </c>
      <c r="K10" s="178">
        <v>3100</v>
      </c>
      <c r="L10" s="178">
        <v>3100</v>
      </c>
      <c r="M10" s="178">
        <v>3100</v>
      </c>
      <c r="N10" s="178">
        <v>3100</v>
      </c>
      <c r="O10" s="178">
        <v>3100</v>
      </c>
      <c r="P10" s="178">
        <v>3100</v>
      </c>
      <c r="Q10" s="178">
        <v>3100</v>
      </c>
      <c r="R10" s="178">
        <v>3100</v>
      </c>
      <c r="S10" s="178">
        <v>3100</v>
      </c>
      <c r="T10" s="178">
        <v>3100</v>
      </c>
      <c r="U10" s="178">
        <v>3100</v>
      </c>
      <c r="V10" s="178">
        <v>3100</v>
      </c>
      <c r="W10" s="178">
        <v>3100</v>
      </c>
    </row>
    <row r="11" spans="1:26">
      <c r="A11" s="136" t="s">
        <v>81</v>
      </c>
      <c r="B11" s="139" t="s">
        <v>318</v>
      </c>
      <c r="C11" s="139" t="s">
        <v>318</v>
      </c>
      <c r="D11" s="139" t="s">
        <v>318</v>
      </c>
      <c r="E11" s="139" t="s">
        <v>318</v>
      </c>
      <c r="F11" s="139" t="s">
        <v>318</v>
      </c>
      <c r="G11" s="139" t="s">
        <v>318</v>
      </c>
      <c r="H11" s="139" t="s">
        <v>318</v>
      </c>
      <c r="I11" s="139" t="s">
        <v>318</v>
      </c>
      <c r="J11" s="139" t="s">
        <v>318</v>
      </c>
      <c r="K11" s="139" t="s">
        <v>318</v>
      </c>
      <c r="L11" s="139" t="s">
        <v>318</v>
      </c>
      <c r="M11" s="139" t="s">
        <v>318</v>
      </c>
      <c r="N11" s="139" t="s">
        <v>318</v>
      </c>
      <c r="O11" s="139" t="s">
        <v>318</v>
      </c>
      <c r="P11" s="139" t="s">
        <v>318</v>
      </c>
      <c r="Q11" s="139" t="s">
        <v>318</v>
      </c>
      <c r="R11" s="139" t="s">
        <v>318</v>
      </c>
      <c r="S11" s="139" t="s">
        <v>318</v>
      </c>
      <c r="T11" s="139" t="s">
        <v>318</v>
      </c>
      <c r="U11" s="139" t="s">
        <v>318</v>
      </c>
      <c r="V11" s="139" t="s">
        <v>318</v>
      </c>
      <c r="W11" s="139" t="s">
        <v>318</v>
      </c>
    </row>
    <row r="12" spans="1:26" s="7" customFormat="1">
      <c r="A12" s="102"/>
      <c r="B12" s="140" t="s">
        <v>832</v>
      </c>
      <c r="C12" s="140" t="s">
        <v>832</v>
      </c>
      <c r="D12" s="140" t="s">
        <v>832</v>
      </c>
      <c r="E12" s="140" t="s">
        <v>832</v>
      </c>
      <c r="F12" s="140" t="s">
        <v>832</v>
      </c>
      <c r="G12" s="140" t="s">
        <v>832</v>
      </c>
      <c r="H12" s="140" t="s">
        <v>832</v>
      </c>
      <c r="I12" s="140" t="s">
        <v>832</v>
      </c>
      <c r="J12" s="140" t="s">
        <v>832</v>
      </c>
      <c r="K12" s="140" t="s">
        <v>832</v>
      </c>
      <c r="L12" s="140" t="s">
        <v>832</v>
      </c>
      <c r="M12" s="140" t="s">
        <v>832</v>
      </c>
      <c r="N12" s="140" t="s">
        <v>832</v>
      </c>
      <c r="O12" s="140" t="s">
        <v>832</v>
      </c>
      <c r="P12" s="140" t="s">
        <v>832</v>
      </c>
      <c r="Q12" s="140" t="s">
        <v>832</v>
      </c>
      <c r="R12" s="140" t="s">
        <v>832</v>
      </c>
      <c r="S12" s="140" t="s">
        <v>832</v>
      </c>
      <c r="T12" s="140" t="s">
        <v>832</v>
      </c>
      <c r="U12" s="140" t="s">
        <v>832</v>
      </c>
      <c r="V12" s="140" t="s">
        <v>832</v>
      </c>
      <c r="W12" s="140" t="s">
        <v>832</v>
      </c>
    </row>
    <row r="13" spans="1:26">
      <c r="A13" s="26"/>
      <c r="B13" s="36" t="s">
        <v>323</v>
      </c>
      <c r="C13" s="36" t="s">
        <v>323</v>
      </c>
      <c r="D13" s="36" t="s">
        <v>323</v>
      </c>
      <c r="E13" s="36" t="s">
        <v>323</v>
      </c>
      <c r="F13" s="36" t="s">
        <v>323</v>
      </c>
      <c r="G13" s="36" t="s">
        <v>323</v>
      </c>
      <c r="H13" s="36" t="s">
        <v>323</v>
      </c>
      <c r="I13" s="27" t="s">
        <v>323</v>
      </c>
      <c r="J13" s="116" t="s">
        <v>83</v>
      </c>
      <c r="K13" s="27" t="s">
        <v>323</v>
      </c>
      <c r="L13" s="116" t="s">
        <v>83</v>
      </c>
      <c r="M13" s="116" t="s">
        <v>83</v>
      </c>
      <c r="N13" s="36" t="s">
        <v>323</v>
      </c>
      <c r="O13" s="36" t="s">
        <v>323</v>
      </c>
      <c r="P13" s="36" t="s">
        <v>323</v>
      </c>
      <c r="Q13" s="36" t="s">
        <v>323</v>
      </c>
      <c r="R13" s="116" t="s">
        <v>83</v>
      </c>
      <c r="S13" s="116" t="s">
        <v>83</v>
      </c>
      <c r="T13" s="116" t="s">
        <v>83</v>
      </c>
      <c r="U13" s="36" t="s">
        <v>323</v>
      </c>
      <c r="V13" s="27" t="s">
        <v>323</v>
      </c>
      <c r="W13" s="27" t="s">
        <v>323</v>
      </c>
    </row>
    <row r="14" spans="1:26" ht="60">
      <c r="A14" s="21" t="s">
        <v>84</v>
      </c>
      <c r="B14" s="169" t="s">
        <v>1008</v>
      </c>
      <c r="C14" s="169" t="s">
        <v>1008</v>
      </c>
      <c r="D14" s="169" t="s">
        <v>1008</v>
      </c>
      <c r="E14" s="169" t="s">
        <v>1008</v>
      </c>
      <c r="F14" s="169" t="s">
        <v>1008</v>
      </c>
      <c r="G14" s="169" t="s">
        <v>1008</v>
      </c>
      <c r="H14" s="169" t="s">
        <v>1008</v>
      </c>
      <c r="I14" s="232" t="s">
        <v>1009</v>
      </c>
      <c r="J14" s="169" t="s">
        <v>1010</v>
      </c>
      <c r="K14" s="169" t="s">
        <v>1010</v>
      </c>
      <c r="L14" s="169" t="s">
        <v>1010</v>
      </c>
      <c r="M14" s="169" t="s">
        <v>1010</v>
      </c>
      <c r="N14" s="169" t="s">
        <v>1008</v>
      </c>
      <c r="O14" s="169" t="s">
        <v>1008</v>
      </c>
      <c r="P14" s="169" t="s">
        <v>1008</v>
      </c>
      <c r="Q14" s="169" t="s">
        <v>1008</v>
      </c>
      <c r="R14" s="169" t="s">
        <v>1008</v>
      </c>
      <c r="S14" s="169" t="s">
        <v>1010</v>
      </c>
      <c r="T14" s="169" t="s">
        <v>1010</v>
      </c>
      <c r="U14" s="169" t="s">
        <v>1008</v>
      </c>
      <c r="V14" s="169" t="s">
        <v>1008</v>
      </c>
      <c r="W14" s="169" t="s">
        <v>1008</v>
      </c>
    </row>
    <row r="15" spans="1:26" ht="120">
      <c r="A15" s="223"/>
      <c r="B15" s="19" t="s">
        <v>835</v>
      </c>
      <c r="C15" s="19" t="s">
        <v>835</v>
      </c>
      <c r="D15" s="19" t="s">
        <v>835</v>
      </c>
      <c r="E15" s="19" t="s">
        <v>835</v>
      </c>
      <c r="F15" s="19" t="s">
        <v>835</v>
      </c>
      <c r="G15" s="19" t="s">
        <v>835</v>
      </c>
      <c r="H15" s="19" t="s">
        <v>835</v>
      </c>
      <c r="I15" s="235" t="s">
        <v>835</v>
      </c>
      <c r="J15" s="19" t="s">
        <v>835</v>
      </c>
      <c r="K15" s="19" t="s">
        <v>835</v>
      </c>
      <c r="L15" s="19" t="s">
        <v>835</v>
      </c>
      <c r="M15" s="19" t="s">
        <v>835</v>
      </c>
      <c r="N15" s="201" t="s">
        <v>836</v>
      </c>
      <c r="O15" s="206" t="s">
        <v>836</v>
      </c>
      <c r="P15" s="206" t="s">
        <v>836</v>
      </c>
      <c r="Q15" s="206" t="s">
        <v>836</v>
      </c>
      <c r="R15" s="206" t="s">
        <v>836</v>
      </c>
      <c r="S15" s="206" t="s">
        <v>836</v>
      </c>
      <c r="T15" s="206" t="s">
        <v>836</v>
      </c>
      <c r="U15" s="204" t="s">
        <v>914</v>
      </c>
      <c r="V15" s="204" t="s">
        <v>914</v>
      </c>
      <c r="W15" s="208" t="s">
        <v>1011</v>
      </c>
    </row>
    <row r="16" spans="1:26" ht="145.5" customHeight="1">
      <c r="A16" s="228"/>
      <c r="B16" s="211" t="s">
        <v>1012</v>
      </c>
      <c r="C16" s="203" t="s">
        <v>1013</v>
      </c>
      <c r="D16" s="211" t="s">
        <v>1012</v>
      </c>
      <c r="E16" s="211" t="s">
        <v>1012</v>
      </c>
      <c r="F16" s="211" t="s">
        <v>1012</v>
      </c>
      <c r="G16" s="224" t="s">
        <v>594</v>
      </c>
      <c r="H16" s="203" t="s">
        <v>1013</v>
      </c>
      <c r="I16" s="224" t="s">
        <v>594</v>
      </c>
      <c r="J16" s="220" t="s">
        <v>1014</v>
      </c>
      <c r="K16" s="220" t="s">
        <v>1015</v>
      </c>
      <c r="L16" s="207" t="s">
        <v>1016</v>
      </c>
      <c r="M16" s="221" t="s">
        <v>1017</v>
      </c>
      <c r="N16" s="212" t="s">
        <v>1012</v>
      </c>
      <c r="O16" s="203" t="s">
        <v>1013</v>
      </c>
      <c r="P16" s="212" t="s">
        <v>1012</v>
      </c>
      <c r="Q16" s="203" t="s">
        <v>1013</v>
      </c>
      <c r="R16" s="211" t="s">
        <v>1018</v>
      </c>
      <c r="S16" s="220" t="s">
        <v>1019</v>
      </c>
      <c r="T16" s="207" t="s">
        <v>1020</v>
      </c>
      <c r="U16" s="214" t="s">
        <v>1021</v>
      </c>
      <c r="V16" s="215" t="s">
        <v>1022</v>
      </c>
      <c r="W16" s="217" t="s">
        <v>1023</v>
      </c>
      <c r="Z16" s="19"/>
    </row>
    <row r="17" spans="1:23" ht="165">
      <c r="A17" s="234"/>
      <c r="B17" s="213" t="s">
        <v>919</v>
      </c>
      <c r="C17" s="213" t="s">
        <v>919</v>
      </c>
      <c r="D17" s="213" t="s">
        <v>917</v>
      </c>
      <c r="E17" s="213" t="s">
        <v>917</v>
      </c>
      <c r="F17" s="213" t="s">
        <v>917</v>
      </c>
      <c r="G17" s="213" t="s">
        <v>919</v>
      </c>
      <c r="H17" s="213" t="s">
        <v>917</v>
      </c>
      <c r="I17" s="205" t="s">
        <v>838</v>
      </c>
      <c r="J17" s="213" t="s">
        <v>917</v>
      </c>
      <c r="K17" s="213" t="s">
        <v>917</v>
      </c>
      <c r="L17" s="213" t="s">
        <v>917</v>
      </c>
      <c r="M17" s="213" t="s">
        <v>917</v>
      </c>
      <c r="N17" s="222" t="s">
        <v>1024</v>
      </c>
      <c r="O17" s="222" t="s">
        <v>1024</v>
      </c>
      <c r="P17" s="204" t="s">
        <v>925</v>
      </c>
      <c r="Q17" s="204" t="s">
        <v>925</v>
      </c>
      <c r="R17" s="204" t="s">
        <v>925</v>
      </c>
      <c r="S17" s="204" t="s">
        <v>925</v>
      </c>
      <c r="T17" s="204" t="s">
        <v>925</v>
      </c>
      <c r="U17" s="209" t="s">
        <v>1025</v>
      </c>
      <c r="V17" s="213" t="s">
        <v>1026</v>
      </c>
      <c r="W17" s="210" t="s">
        <v>1027</v>
      </c>
    </row>
    <row r="18" spans="1:23" ht="150">
      <c r="A18" s="231"/>
      <c r="B18" s="218" t="s">
        <v>928</v>
      </c>
      <c r="C18" s="218" t="s">
        <v>928</v>
      </c>
      <c r="D18" s="202" t="s">
        <v>926</v>
      </c>
      <c r="E18" s="219" t="s">
        <v>931</v>
      </c>
      <c r="F18" s="210" t="s">
        <v>1028</v>
      </c>
      <c r="G18" s="202" t="s">
        <v>1029</v>
      </c>
      <c r="H18" s="202" t="s">
        <v>926</v>
      </c>
      <c r="I18" s="225" t="s">
        <v>841</v>
      </c>
      <c r="J18" s="202" t="s">
        <v>926</v>
      </c>
      <c r="K18" s="210" t="s">
        <v>930</v>
      </c>
      <c r="L18" s="202" t="s">
        <v>926</v>
      </c>
      <c r="M18" s="202" t="s">
        <v>926</v>
      </c>
      <c r="N18" s="205" t="s">
        <v>1030</v>
      </c>
      <c r="O18" s="205" t="s">
        <v>1030</v>
      </c>
      <c r="P18" s="201" t="s">
        <v>927</v>
      </c>
      <c r="Q18" s="201" t="s">
        <v>927</v>
      </c>
      <c r="R18" s="201" t="s">
        <v>927</v>
      </c>
      <c r="S18" s="201" t="s">
        <v>927</v>
      </c>
      <c r="T18" s="201" t="s">
        <v>927</v>
      </c>
      <c r="U18" s="19"/>
      <c r="V18" s="216" t="s">
        <v>1031</v>
      </c>
      <c r="W18" s="30"/>
    </row>
    <row r="19" spans="1:23">
      <c r="A19" s="2"/>
      <c r="B19" s="30"/>
      <c r="C19" s="30"/>
      <c r="D19" s="30"/>
      <c r="E19" s="30"/>
      <c r="F19" s="30"/>
      <c r="G19" s="30"/>
      <c r="H19" s="30"/>
      <c r="I19" s="30"/>
      <c r="J19" s="30"/>
      <c r="K19" s="30"/>
      <c r="L19" s="30"/>
      <c r="M19" s="30"/>
      <c r="N19" s="30"/>
      <c r="O19" s="30"/>
      <c r="P19" s="30"/>
      <c r="Q19" s="30"/>
      <c r="R19" s="30"/>
      <c r="S19" s="30"/>
      <c r="T19" s="30"/>
      <c r="U19" s="30"/>
      <c r="V19" s="30"/>
    </row>
    <row r="20" spans="1:23">
      <c r="A20" s="2"/>
      <c r="B20" s="60"/>
      <c r="C20" s="60"/>
      <c r="D20" s="2"/>
      <c r="E20" s="19"/>
      <c r="F20" s="19"/>
      <c r="G20" s="60"/>
      <c r="H20" s="60"/>
      <c r="I20" s="60"/>
      <c r="K20" s="19"/>
      <c r="N20" s="19"/>
      <c r="O20" s="19"/>
      <c r="P20" s="19"/>
      <c r="Q20" s="19"/>
      <c r="U20" s="30"/>
      <c r="V20" s="60"/>
      <c r="W20" s="60"/>
    </row>
    <row r="21" spans="1:23">
      <c r="A21" s="2"/>
      <c r="B21" s="2"/>
      <c r="C21" s="2"/>
      <c r="D21" s="2"/>
      <c r="E21" s="90"/>
      <c r="F21" s="90"/>
      <c r="G21" s="2"/>
      <c r="H21" s="2"/>
      <c r="I21" s="2"/>
      <c r="K21" s="90"/>
      <c r="N21" s="90"/>
      <c r="O21" s="90"/>
      <c r="P21" s="90"/>
      <c r="Q21" s="90"/>
      <c r="U21" s="80"/>
      <c r="V21" s="2"/>
      <c r="W21" s="2"/>
    </row>
    <row r="22" spans="1:23">
      <c r="A22" s="13" t="s">
        <v>406</v>
      </c>
      <c r="B22" s="104" t="s">
        <v>131</v>
      </c>
      <c r="C22" s="104" t="s">
        <v>131</v>
      </c>
      <c r="D22" s="104" t="s">
        <v>131</v>
      </c>
      <c r="E22" s="104" t="s">
        <v>131</v>
      </c>
      <c r="F22" s="104" t="s">
        <v>131</v>
      </c>
      <c r="G22" s="104" t="s">
        <v>131</v>
      </c>
      <c r="H22" s="104" t="s">
        <v>131</v>
      </c>
      <c r="I22" s="104" t="s">
        <v>131</v>
      </c>
      <c r="J22" s="104" t="s">
        <v>131</v>
      </c>
      <c r="K22" s="104" t="s">
        <v>131</v>
      </c>
      <c r="L22" s="104" t="s">
        <v>131</v>
      </c>
      <c r="M22" s="104" t="s">
        <v>131</v>
      </c>
      <c r="N22" s="104" t="s">
        <v>131</v>
      </c>
      <c r="O22" s="104" t="s">
        <v>131</v>
      </c>
      <c r="P22" s="104" t="s">
        <v>131</v>
      </c>
      <c r="Q22" s="104" t="s">
        <v>131</v>
      </c>
      <c r="R22" s="104" t="s">
        <v>131</v>
      </c>
      <c r="S22" s="104" t="s">
        <v>131</v>
      </c>
      <c r="T22" s="104" t="s">
        <v>131</v>
      </c>
      <c r="U22" s="104" t="s">
        <v>131</v>
      </c>
      <c r="V22" s="104" t="s">
        <v>131</v>
      </c>
      <c r="W22" s="104" t="s">
        <v>131</v>
      </c>
    </row>
    <row r="23" spans="1:23">
      <c r="A23" s="2"/>
      <c r="B23" s="104" t="s">
        <v>132</v>
      </c>
      <c r="C23" s="104" t="s">
        <v>132</v>
      </c>
      <c r="D23" s="104" t="s">
        <v>132</v>
      </c>
      <c r="E23" s="104" t="s">
        <v>132</v>
      </c>
      <c r="F23" s="104" t="s">
        <v>132</v>
      </c>
      <c r="G23" s="104" t="s">
        <v>132</v>
      </c>
      <c r="H23" s="104" t="s">
        <v>132</v>
      </c>
      <c r="I23" s="104" t="s">
        <v>132</v>
      </c>
      <c r="J23" s="104" t="s">
        <v>132</v>
      </c>
      <c r="K23" s="104" t="s">
        <v>132</v>
      </c>
      <c r="L23" s="104" t="s">
        <v>132</v>
      </c>
      <c r="M23" s="104" t="s">
        <v>132</v>
      </c>
      <c r="N23" s="104" t="s">
        <v>132</v>
      </c>
      <c r="O23" s="104" t="s">
        <v>132</v>
      </c>
      <c r="P23" s="104" t="s">
        <v>132</v>
      </c>
      <c r="Q23" s="104" t="s">
        <v>132</v>
      </c>
      <c r="R23" s="104" t="s">
        <v>132</v>
      </c>
      <c r="S23" s="104" t="s">
        <v>132</v>
      </c>
      <c r="T23" s="104" t="s">
        <v>132</v>
      </c>
      <c r="U23" s="104" t="s">
        <v>132</v>
      </c>
      <c r="V23" s="104" t="s">
        <v>132</v>
      </c>
      <c r="W23" s="104" t="s">
        <v>132</v>
      </c>
    </row>
    <row r="24" spans="1:23" s="17" customFormat="1">
      <c r="A24" s="44"/>
      <c r="B24" s="45" t="s">
        <v>133</v>
      </c>
      <c r="C24" s="45" t="s">
        <v>133</v>
      </c>
      <c r="D24" s="29" t="s">
        <v>133</v>
      </c>
      <c r="E24" s="45" t="s">
        <v>133</v>
      </c>
      <c r="F24" s="45" t="s">
        <v>133</v>
      </c>
      <c r="G24" s="45" t="s">
        <v>133</v>
      </c>
      <c r="H24" s="45" t="s">
        <v>133</v>
      </c>
      <c r="I24" s="29" t="s">
        <v>133</v>
      </c>
      <c r="J24" s="29" t="s">
        <v>133</v>
      </c>
      <c r="K24" s="45" t="s">
        <v>133</v>
      </c>
      <c r="L24" s="29" t="s">
        <v>133</v>
      </c>
      <c r="M24" s="29" t="s">
        <v>133</v>
      </c>
      <c r="N24" s="45" t="s">
        <v>133</v>
      </c>
      <c r="O24" s="45" t="s">
        <v>133</v>
      </c>
      <c r="P24" s="45" t="s">
        <v>133</v>
      </c>
      <c r="Q24" s="45" t="s">
        <v>133</v>
      </c>
      <c r="R24" s="45" t="s">
        <v>133</v>
      </c>
      <c r="S24" s="29" t="s">
        <v>133</v>
      </c>
      <c r="T24" s="29" t="s">
        <v>133</v>
      </c>
      <c r="U24" s="45" t="s">
        <v>133</v>
      </c>
      <c r="V24" s="45" t="s">
        <v>133</v>
      </c>
      <c r="W24" s="45" t="s">
        <v>133</v>
      </c>
    </row>
    <row r="25" spans="1:23">
      <c r="B25" s="31" t="s">
        <v>134</v>
      </c>
      <c r="C25" s="31" t="s">
        <v>134</v>
      </c>
      <c r="D25" s="46" t="s">
        <v>134</v>
      </c>
      <c r="E25" s="31" t="s">
        <v>134</v>
      </c>
      <c r="F25" s="31" t="s">
        <v>134</v>
      </c>
      <c r="G25" s="31" t="s">
        <v>134</v>
      </c>
      <c r="H25" s="31" t="s">
        <v>134</v>
      </c>
      <c r="I25" s="46" t="s">
        <v>134</v>
      </c>
      <c r="J25" s="46" t="s">
        <v>134</v>
      </c>
      <c r="K25" s="46" t="s">
        <v>134</v>
      </c>
      <c r="L25" s="46" t="s">
        <v>134</v>
      </c>
      <c r="M25" s="46" t="s">
        <v>134</v>
      </c>
      <c r="N25" s="31" t="s">
        <v>134</v>
      </c>
      <c r="O25" s="31" t="s">
        <v>134</v>
      </c>
      <c r="P25" s="31" t="s">
        <v>134</v>
      </c>
      <c r="Q25" s="31" t="s">
        <v>134</v>
      </c>
      <c r="R25" s="31" t="s">
        <v>134</v>
      </c>
      <c r="S25" s="46" t="s">
        <v>134</v>
      </c>
      <c r="T25" s="46" t="s">
        <v>134</v>
      </c>
      <c r="U25" s="31" t="s">
        <v>134</v>
      </c>
      <c r="V25" s="31" t="s">
        <v>134</v>
      </c>
      <c r="W25" s="31" t="s">
        <v>134</v>
      </c>
    </row>
    <row r="26" spans="1:23">
      <c r="B26" s="46" t="s">
        <v>135</v>
      </c>
      <c r="C26" s="46" t="s">
        <v>135</v>
      </c>
      <c r="D26" s="46" t="s">
        <v>135</v>
      </c>
      <c r="E26" s="46" t="s">
        <v>135</v>
      </c>
      <c r="F26" s="46" t="s">
        <v>135</v>
      </c>
      <c r="G26" s="46" t="s">
        <v>135</v>
      </c>
      <c r="H26" s="46" t="s">
        <v>135</v>
      </c>
      <c r="I26" s="46" t="s">
        <v>135</v>
      </c>
      <c r="J26" s="46" t="s">
        <v>135</v>
      </c>
      <c r="K26" s="46" t="s">
        <v>135</v>
      </c>
      <c r="L26" s="46" t="s">
        <v>135</v>
      </c>
      <c r="M26" s="46" t="s">
        <v>135</v>
      </c>
      <c r="N26" s="46" t="s">
        <v>135</v>
      </c>
      <c r="O26" s="46" t="s">
        <v>135</v>
      </c>
      <c r="P26" s="46" t="s">
        <v>135</v>
      </c>
      <c r="Q26" s="46" t="s">
        <v>135</v>
      </c>
      <c r="R26" s="46" t="s">
        <v>135</v>
      </c>
      <c r="S26" s="46" t="s">
        <v>135</v>
      </c>
      <c r="T26" s="46" t="s">
        <v>135</v>
      </c>
      <c r="U26" s="46" t="s">
        <v>135</v>
      </c>
      <c r="V26" s="46" t="s">
        <v>135</v>
      </c>
      <c r="W26" s="46" t="s">
        <v>135</v>
      </c>
    </row>
    <row r="27" spans="1:23">
      <c r="B27" s="31" t="s">
        <v>674</v>
      </c>
      <c r="C27" s="31" t="s">
        <v>674</v>
      </c>
      <c r="D27" s="46" t="s">
        <v>674</v>
      </c>
      <c r="E27" s="31" t="s">
        <v>674</v>
      </c>
      <c r="F27" s="31" t="s">
        <v>674</v>
      </c>
      <c r="G27" s="31" t="s">
        <v>674</v>
      </c>
      <c r="H27" s="31" t="s">
        <v>674</v>
      </c>
      <c r="I27" s="46" t="s">
        <v>682</v>
      </c>
      <c r="J27" s="46" t="s">
        <v>674</v>
      </c>
      <c r="K27" s="31" t="s">
        <v>674</v>
      </c>
      <c r="L27" s="46" t="s">
        <v>674</v>
      </c>
      <c r="M27" s="46" t="s">
        <v>674</v>
      </c>
      <c r="N27" s="31" t="s">
        <v>674</v>
      </c>
      <c r="O27" s="31" t="s">
        <v>674</v>
      </c>
      <c r="P27" s="31" t="s">
        <v>674</v>
      </c>
      <c r="Q27" s="31" t="s">
        <v>674</v>
      </c>
      <c r="R27" s="31" t="s">
        <v>674</v>
      </c>
      <c r="S27" s="46" t="s">
        <v>674</v>
      </c>
      <c r="T27" s="46" t="s">
        <v>674</v>
      </c>
      <c r="U27" s="46" t="s">
        <v>410</v>
      </c>
      <c r="V27" s="46" t="s">
        <v>410</v>
      </c>
      <c r="W27" s="46" t="s">
        <v>410</v>
      </c>
    </row>
    <row r="28" spans="1:23">
      <c r="B28" s="46" t="s">
        <v>410</v>
      </c>
      <c r="C28" s="46" t="s">
        <v>410</v>
      </c>
      <c r="D28" s="46" t="s">
        <v>410</v>
      </c>
      <c r="E28" s="46" t="s">
        <v>410</v>
      </c>
      <c r="F28" s="46" t="s">
        <v>410</v>
      </c>
      <c r="G28" s="46" t="s">
        <v>410</v>
      </c>
      <c r="H28" s="46" t="s">
        <v>410</v>
      </c>
      <c r="I28" s="46" t="s">
        <v>850</v>
      </c>
      <c r="J28" s="31" t="s">
        <v>409</v>
      </c>
      <c r="K28" s="31" t="s">
        <v>409</v>
      </c>
      <c r="L28" s="31" t="s">
        <v>409</v>
      </c>
      <c r="M28" s="31" t="s">
        <v>409</v>
      </c>
      <c r="N28" s="46" t="s">
        <v>410</v>
      </c>
      <c r="O28" s="46" t="s">
        <v>410</v>
      </c>
      <c r="P28" s="31" t="s">
        <v>855</v>
      </c>
      <c r="Q28" s="31" t="s">
        <v>855</v>
      </c>
      <c r="R28" s="46" t="s">
        <v>410</v>
      </c>
      <c r="S28" s="31" t="s">
        <v>409</v>
      </c>
      <c r="T28" s="31" t="s">
        <v>409</v>
      </c>
      <c r="U28" s="31" t="s">
        <v>408</v>
      </c>
      <c r="V28" s="31" t="s">
        <v>408</v>
      </c>
      <c r="W28" s="46" t="s">
        <v>408</v>
      </c>
    </row>
    <row r="29" spans="1:23">
      <c r="B29" s="31" t="s">
        <v>408</v>
      </c>
      <c r="C29" s="31" t="s">
        <v>408</v>
      </c>
      <c r="D29" s="46" t="s">
        <v>408</v>
      </c>
      <c r="E29" s="31" t="s">
        <v>408</v>
      </c>
      <c r="F29" s="31" t="s">
        <v>408</v>
      </c>
      <c r="G29" s="31" t="s">
        <v>408</v>
      </c>
      <c r="H29" s="31" t="s">
        <v>408</v>
      </c>
      <c r="I29" s="46" t="s">
        <v>410</v>
      </c>
      <c r="J29" s="46" t="s">
        <v>410</v>
      </c>
      <c r="K29" s="46" t="s">
        <v>410</v>
      </c>
      <c r="L29" s="46" t="s">
        <v>1032</v>
      </c>
      <c r="M29" s="46" t="s">
        <v>410</v>
      </c>
      <c r="N29" s="31" t="s">
        <v>408</v>
      </c>
      <c r="O29" s="31" t="s">
        <v>408</v>
      </c>
      <c r="P29" s="46" t="s">
        <v>410</v>
      </c>
      <c r="Q29" s="46" t="s">
        <v>410</v>
      </c>
      <c r="R29" s="31" t="s">
        <v>408</v>
      </c>
      <c r="S29" s="46" t="s">
        <v>410</v>
      </c>
      <c r="T29" s="46" t="s">
        <v>1032</v>
      </c>
      <c r="U29" s="31" t="s">
        <v>852</v>
      </c>
      <c r="V29" s="46" t="s">
        <v>852</v>
      </c>
      <c r="W29" s="46" t="s">
        <v>852</v>
      </c>
    </row>
    <row r="30" spans="1:23">
      <c r="B30" s="31" t="s">
        <v>854</v>
      </c>
      <c r="C30" s="31" t="s">
        <v>854</v>
      </c>
      <c r="D30" s="46" t="s">
        <v>852</v>
      </c>
      <c r="E30" s="31" t="s">
        <v>852</v>
      </c>
      <c r="F30" s="31" t="s">
        <v>852</v>
      </c>
      <c r="G30" s="31" t="s">
        <v>852</v>
      </c>
      <c r="H30" s="31" t="s">
        <v>852</v>
      </c>
      <c r="I30" s="46" t="s">
        <v>408</v>
      </c>
      <c r="J30" s="31" t="s">
        <v>408</v>
      </c>
      <c r="K30" s="31" t="s">
        <v>408</v>
      </c>
      <c r="L30" s="31" t="s">
        <v>408</v>
      </c>
      <c r="M30" s="31" t="s">
        <v>408</v>
      </c>
      <c r="N30" s="31" t="s">
        <v>855</v>
      </c>
      <c r="O30" s="31" t="s">
        <v>855</v>
      </c>
      <c r="P30" s="31" t="s">
        <v>408</v>
      </c>
      <c r="Q30" s="31" t="s">
        <v>408</v>
      </c>
      <c r="R30" s="12" t="s">
        <v>257</v>
      </c>
      <c r="S30" s="31" t="s">
        <v>408</v>
      </c>
      <c r="T30" s="31" t="s">
        <v>408</v>
      </c>
      <c r="U30" s="31" t="s">
        <v>857</v>
      </c>
      <c r="V30" s="31" t="s">
        <v>857</v>
      </c>
      <c r="W30" s="31" t="s">
        <v>857</v>
      </c>
    </row>
    <row r="31" spans="1:23">
      <c r="B31" s="31" t="s">
        <v>852</v>
      </c>
      <c r="C31" s="31" t="s">
        <v>852</v>
      </c>
      <c r="D31" s="46" t="s">
        <v>857</v>
      </c>
      <c r="E31" s="31" t="s">
        <v>857</v>
      </c>
      <c r="F31" s="31" t="s">
        <v>857</v>
      </c>
      <c r="G31" s="31" t="s">
        <v>857</v>
      </c>
      <c r="H31" s="31" t="s">
        <v>857</v>
      </c>
      <c r="I31" s="46" t="s">
        <v>852</v>
      </c>
      <c r="J31" s="46" t="s">
        <v>852</v>
      </c>
      <c r="K31" s="46" t="s">
        <v>852</v>
      </c>
      <c r="L31" s="12" t="s">
        <v>257</v>
      </c>
      <c r="M31" s="12" t="s">
        <v>257</v>
      </c>
      <c r="N31" s="31" t="s">
        <v>852</v>
      </c>
      <c r="O31" s="31" t="s">
        <v>854</v>
      </c>
      <c r="P31" s="31" t="s">
        <v>854</v>
      </c>
      <c r="Q31" s="31" t="s">
        <v>854</v>
      </c>
      <c r="R31" s="12" t="s">
        <v>1033</v>
      </c>
      <c r="S31" s="31" t="s">
        <v>855</v>
      </c>
      <c r="T31" s="31" t="s">
        <v>855</v>
      </c>
      <c r="U31" s="31" t="s">
        <v>148</v>
      </c>
      <c r="V31" s="31" t="s">
        <v>148</v>
      </c>
      <c r="W31" s="31" t="s">
        <v>148</v>
      </c>
    </row>
    <row r="32" spans="1:23">
      <c r="B32" s="31" t="s">
        <v>857</v>
      </c>
      <c r="C32" s="31" t="s">
        <v>857</v>
      </c>
      <c r="D32" s="46" t="s">
        <v>148</v>
      </c>
      <c r="E32" s="46" t="s">
        <v>148</v>
      </c>
      <c r="F32" s="46" t="s">
        <v>148</v>
      </c>
      <c r="G32" s="31" t="s">
        <v>148</v>
      </c>
      <c r="H32" s="31" t="s">
        <v>148</v>
      </c>
      <c r="I32" s="46" t="s">
        <v>857</v>
      </c>
      <c r="J32" s="46" t="s">
        <v>857</v>
      </c>
      <c r="K32" s="31" t="s">
        <v>857</v>
      </c>
      <c r="L32" s="12" t="s">
        <v>1033</v>
      </c>
      <c r="M32" s="12" t="s">
        <v>1033</v>
      </c>
      <c r="N32" s="31" t="s">
        <v>857</v>
      </c>
      <c r="O32" s="31" t="s">
        <v>852</v>
      </c>
      <c r="P32" s="31" t="s">
        <v>852</v>
      </c>
      <c r="Q32" s="31" t="s">
        <v>852</v>
      </c>
      <c r="R32" s="31" t="s">
        <v>855</v>
      </c>
      <c r="S32" s="31" t="s">
        <v>854</v>
      </c>
      <c r="T32" s="31" t="s">
        <v>854</v>
      </c>
      <c r="U32" s="31" t="s">
        <v>147</v>
      </c>
      <c r="V32" s="31" t="s">
        <v>147</v>
      </c>
      <c r="W32" s="31" t="s">
        <v>147</v>
      </c>
    </row>
    <row r="33" spans="2:23">
      <c r="B33" s="31" t="s">
        <v>148</v>
      </c>
      <c r="C33" s="31" t="s">
        <v>148</v>
      </c>
      <c r="D33" s="46" t="s">
        <v>858</v>
      </c>
      <c r="E33" s="31" t="s">
        <v>858</v>
      </c>
      <c r="F33" s="31" t="s">
        <v>858</v>
      </c>
      <c r="G33" s="31" t="s">
        <v>858</v>
      </c>
      <c r="H33" s="31" t="s">
        <v>858</v>
      </c>
      <c r="I33" s="46" t="s">
        <v>148</v>
      </c>
      <c r="J33" s="46" t="s">
        <v>420</v>
      </c>
      <c r="K33" s="31" t="s">
        <v>420</v>
      </c>
      <c r="L33" s="46" t="s">
        <v>852</v>
      </c>
      <c r="M33" s="46" t="s">
        <v>852</v>
      </c>
      <c r="N33" s="46" t="s">
        <v>148</v>
      </c>
      <c r="O33" s="31" t="s">
        <v>857</v>
      </c>
      <c r="P33" s="31" t="s">
        <v>857</v>
      </c>
      <c r="Q33" s="31" t="s">
        <v>857</v>
      </c>
      <c r="R33" s="31" t="s">
        <v>854</v>
      </c>
      <c r="S33" s="46" t="s">
        <v>852</v>
      </c>
      <c r="T33" s="46" t="s">
        <v>852</v>
      </c>
      <c r="U33" s="31"/>
      <c r="V33" s="46"/>
      <c r="W33" s="46"/>
    </row>
    <row r="34" spans="2:23">
      <c r="B34" s="31" t="s">
        <v>858</v>
      </c>
      <c r="C34" s="31" t="s">
        <v>858</v>
      </c>
      <c r="D34" s="46" t="s">
        <v>859</v>
      </c>
      <c r="E34" s="31" t="s">
        <v>859</v>
      </c>
      <c r="F34" s="31" t="s">
        <v>859</v>
      </c>
      <c r="G34" s="31" t="s">
        <v>859</v>
      </c>
      <c r="H34" s="31" t="s">
        <v>859</v>
      </c>
      <c r="I34" s="46" t="s">
        <v>858</v>
      </c>
      <c r="J34" s="46" t="s">
        <v>424</v>
      </c>
      <c r="K34" s="31" t="s">
        <v>424</v>
      </c>
      <c r="L34" s="46" t="s">
        <v>857</v>
      </c>
      <c r="M34" s="46" t="s">
        <v>857</v>
      </c>
      <c r="N34" s="31" t="s">
        <v>858</v>
      </c>
      <c r="O34" s="46" t="s">
        <v>148</v>
      </c>
      <c r="P34" s="46" t="s">
        <v>148</v>
      </c>
      <c r="Q34" s="46" t="s">
        <v>148</v>
      </c>
      <c r="R34" s="31" t="s">
        <v>852</v>
      </c>
      <c r="S34" s="46" t="s">
        <v>857</v>
      </c>
      <c r="T34" s="46" t="s">
        <v>857</v>
      </c>
      <c r="U34" s="34" t="s">
        <v>1034</v>
      </c>
      <c r="V34" s="7" t="s">
        <v>1034</v>
      </c>
      <c r="W34" s="7" t="s">
        <v>1034</v>
      </c>
    </row>
    <row r="35" spans="2:23">
      <c r="B35" s="31" t="s">
        <v>859</v>
      </c>
      <c r="C35" s="31" t="s">
        <v>859</v>
      </c>
      <c r="D35" s="46" t="s">
        <v>147</v>
      </c>
      <c r="E35" s="31" t="s">
        <v>147</v>
      </c>
      <c r="F35" s="31" t="s">
        <v>147</v>
      </c>
      <c r="G35" s="31" t="s">
        <v>147</v>
      </c>
      <c r="H35" s="31" t="s">
        <v>147</v>
      </c>
      <c r="I35" s="46" t="s">
        <v>859</v>
      </c>
      <c r="J35" s="46" t="s">
        <v>858</v>
      </c>
      <c r="K35" s="31" t="s">
        <v>858</v>
      </c>
      <c r="L35" s="46" t="s">
        <v>420</v>
      </c>
      <c r="M35" s="31" t="s">
        <v>420</v>
      </c>
      <c r="N35" s="31" t="s">
        <v>859</v>
      </c>
      <c r="O35" s="31" t="s">
        <v>858</v>
      </c>
      <c r="P35" s="31" t="s">
        <v>858</v>
      </c>
      <c r="Q35" s="31" t="s">
        <v>858</v>
      </c>
      <c r="R35" s="31" t="s">
        <v>857</v>
      </c>
      <c r="S35" s="46" t="s">
        <v>420</v>
      </c>
      <c r="T35" s="46" t="s">
        <v>420</v>
      </c>
      <c r="U35" s="34"/>
    </row>
    <row r="36" spans="2:23">
      <c r="B36" s="31" t="s">
        <v>147</v>
      </c>
      <c r="C36" s="31" t="s">
        <v>147</v>
      </c>
      <c r="E36" s="31"/>
      <c r="F36" s="31"/>
      <c r="I36" s="46" t="s">
        <v>147</v>
      </c>
      <c r="J36" s="46" t="s">
        <v>859</v>
      </c>
      <c r="K36" s="46" t="s">
        <v>859</v>
      </c>
      <c r="L36" s="46" t="s">
        <v>424</v>
      </c>
      <c r="M36" s="31" t="s">
        <v>424</v>
      </c>
      <c r="N36" s="31" t="s">
        <v>147</v>
      </c>
      <c r="O36" s="31" t="s">
        <v>859</v>
      </c>
      <c r="P36" s="31" t="s">
        <v>859</v>
      </c>
      <c r="Q36" s="31" t="s">
        <v>859</v>
      </c>
      <c r="R36" s="46" t="s">
        <v>148</v>
      </c>
      <c r="S36" s="46" t="s">
        <v>424</v>
      </c>
      <c r="T36" s="46" t="s">
        <v>424</v>
      </c>
    </row>
    <row r="37" spans="2:23">
      <c r="D37" s="7" t="s">
        <v>1034</v>
      </c>
      <c r="E37" s="31" t="s">
        <v>1034</v>
      </c>
      <c r="F37" s="31" t="s">
        <v>1034</v>
      </c>
      <c r="G37" s="7" t="s">
        <v>1034</v>
      </c>
      <c r="H37" s="7" t="s">
        <v>1034</v>
      </c>
      <c r="J37" s="46" t="s">
        <v>147</v>
      </c>
      <c r="K37" s="31" t="s">
        <v>147</v>
      </c>
      <c r="L37" s="46" t="s">
        <v>858</v>
      </c>
      <c r="M37" s="46" t="s">
        <v>858</v>
      </c>
      <c r="N37" s="29"/>
      <c r="O37" s="31" t="s">
        <v>147</v>
      </c>
      <c r="P37" s="31" t="s">
        <v>147</v>
      </c>
      <c r="Q37" s="31" t="s">
        <v>147</v>
      </c>
      <c r="R37" s="31" t="s">
        <v>858</v>
      </c>
      <c r="S37" s="46" t="s">
        <v>858</v>
      </c>
      <c r="T37" s="46" t="s">
        <v>858</v>
      </c>
      <c r="U37" s="34"/>
      <c r="W37" s="28" t="s">
        <v>860</v>
      </c>
    </row>
    <row r="38" spans="2:23">
      <c r="B38" s="7" t="s">
        <v>1034</v>
      </c>
      <c r="C38" s="7" t="s">
        <v>1034</v>
      </c>
      <c r="E38" s="38" t="s">
        <v>860</v>
      </c>
      <c r="F38" s="38" t="s">
        <v>860</v>
      </c>
      <c r="I38" s="7" t="s">
        <v>1034</v>
      </c>
      <c r="J38"/>
      <c r="L38" s="46" t="s">
        <v>859</v>
      </c>
      <c r="M38" s="46" t="s">
        <v>859</v>
      </c>
      <c r="N38" s="45" t="s">
        <v>1034</v>
      </c>
      <c r="O38" s="29"/>
      <c r="P38" s="29"/>
      <c r="Q38" s="29"/>
      <c r="R38" s="31" t="s">
        <v>859</v>
      </c>
      <c r="S38" s="46" t="s">
        <v>859</v>
      </c>
      <c r="T38" s="46" t="s">
        <v>859</v>
      </c>
      <c r="V38" s="28" t="s">
        <v>860</v>
      </c>
    </row>
    <row r="39" spans="2:23">
      <c r="G39" s="46"/>
      <c r="H39" s="46"/>
      <c r="J39" t="s">
        <v>1034</v>
      </c>
      <c r="K39" s="37" t="s">
        <v>1034</v>
      </c>
      <c r="L39" s="46" t="s">
        <v>147</v>
      </c>
      <c r="M39" s="46" t="s">
        <v>147</v>
      </c>
      <c r="N39" s="31"/>
      <c r="O39" s="45" t="s">
        <v>1034</v>
      </c>
      <c r="P39" s="31" t="s">
        <v>1034</v>
      </c>
      <c r="Q39" s="31" t="s">
        <v>1034</v>
      </c>
      <c r="R39" s="31" t="s">
        <v>147</v>
      </c>
      <c r="S39" s="46" t="s">
        <v>147</v>
      </c>
      <c r="T39" s="46" t="s">
        <v>147</v>
      </c>
    </row>
    <row r="40" spans="2:23">
      <c r="B40" s="46"/>
      <c r="C40" s="46"/>
      <c r="J40"/>
      <c r="L40"/>
      <c r="M40"/>
      <c r="N40" s="31"/>
      <c r="O40" s="31"/>
      <c r="P40" s="31"/>
      <c r="Q40" s="31"/>
      <c r="R40"/>
      <c r="S40"/>
      <c r="T40"/>
    </row>
    <row r="41" spans="2:23">
      <c r="J41"/>
      <c r="L41" t="s">
        <v>1034</v>
      </c>
      <c r="M41" t="s">
        <v>1034</v>
      </c>
      <c r="N41" s="31"/>
      <c r="O41" s="31"/>
      <c r="P41" s="31"/>
      <c r="Q41" s="31"/>
      <c r="R41" t="s">
        <v>1034</v>
      </c>
      <c r="S41" t="s">
        <v>1034</v>
      </c>
      <c r="T41" t="s">
        <v>1034</v>
      </c>
    </row>
    <row r="42" spans="2:23">
      <c r="J42"/>
      <c r="L42"/>
      <c r="M42"/>
      <c r="N42" s="31"/>
      <c r="O42" s="31"/>
      <c r="P42" s="31"/>
      <c r="Q42" s="31"/>
      <c r="R42" s="31"/>
      <c r="S42"/>
      <c r="U42" s="35" t="s">
        <v>860</v>
      </c>
    </row>
    <row r="43" spans="2:23">
      <c r="N43" s="31"/>
      <c r="O43" s="31"/>
      <c r="P43" s="31"/>
      <c r="Q43" s="31"/>
    </row>
    <row r="44" spans="2:23">
      <c r="G44" s="28" t="s">
        <v>860</v>
      </c>
      <c r="H44" s="28" t="s">
        <v>860</v>
      </c>
      <c r="N44" s="31"/>
      <c r="O44" s="31"/>
      <c r="P44" s="31"/>
      <c r="Q44" s="31"/>
    </row>
    <row r="45" spans="2:23">
      <c r="B45" s="28" t="s">
        <v>860</v>
      </c>
      <c r="C45" s="28" t="s">
        <v>860</v>
      </c>
      <c r="I45" s="28" t="s">
        <v>860</v>
      </c>
      <c r="N45" s="31"/>
      <c r="O45" s="31"/>
      <c r="P45" s="31"/>
      <c r="Q45" s="31"/>
    </row>
    <row r="46" spans="2:23">
      <c r="N46" s="31"/>
      <c r="O46" s="31"/>
      <c r="P46" s="31"/>
      <c r="Q46" s="31"/>
    </row>
    <row r="47" spans="2:23">
      <c r="N47" s="31"/>
      <c r="O47" s="31"/>
      <c r="P47" s="31"/>
      <c r="Q47" s="31"/>
    </row>
    <row r="48" spans="2:23">
      <c r="N48" s="31"/>
      <c r="O48" s="31"/>
      <c r="P48" s="31"/>
      <c r="Q48" s="31"/>
    </row>
    <row r="49" spans="15:17">
      <c r="O49" s="31"/>
      <c r="P49" s="31"/>
      <c r="Q49" s="31"/>
    </row>
    <row r="50" spans="15:17">
      <c r="P50" s="31"/>
      <c r="Q50" s="31"/>
    </row>
    <row r="51" spans="15:17">
      <c r="P51" s="31"/>
      <c r="Q51" s="31"/>
    </row>
  </sheetData>
  <pageMargins left="0.7" right="0.7" top="0.75" bottom="0.75" header="0.3" footer="0.3"/>
  <pageSetup paperSize="8" scale="53" fitToWidth="0" orientation="landscape" verticalDpi="598"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rgb="FF00B050"/>
    <pageSetUpPr fitToPage="1"/>
  </sheetPr>
  <dimension ref="A1:R70"/>
  <sheetViews>
    <sheetView tabSelected="1" topLeftCell="O1" zoomScaleNormal="100" workbookViewId="0">
      <selection activeCell="R7" sqref="R7"/>
    </sheetView>
  </sheetViews>
  <sheetFormatPr defaultColWidth="9" defaultRowHeight="15"/>
  <cols>
    <col min="1" max="1" width="16.375" style="7" customWidth="1"/>
    <col min="2" max="2" width="42.75" style="7" customWidth="1"/>
    <col min="3" max="3" width="39.125" style="37" customWidth="1"/>
    <col min="4" max="12" width="39.125" style="33" customWidth="1"/>
    <col min="13" max="14" width="39.125" style="37" customWidth="1"/>
    <col min="15" max="15" width="39.125" style="33" customWidth="1"/>
    <col min="16" max="18" width="37" customWidth="1"/>
  </cols>
  <sheetData>
    <row r="1" spans="1:18">
      <c r="A1" s="22"/>
      <c r="B1" s="23" t="s">
        <v>1035</v>
      </c>
      <c r="C1" s="111" t="s">
        <v>1036</v>
      </c>
      <c r="D1" s="111" t="s">
        <v>1037</v>
      </c>
      <c r="E1" s="111" t="s">
        <v>1038</v>
      </c>
      <c r="F1" s="48" t="s">
        <v>1039</v>
      </c>
      <c r="G1" s="111" t="s">
        <v>1040</v>
      </c>
      <c r="H1" s="111" t="s">
        <v>1041</v>
      </c>
      <c r="I1" s="111" t="s">
        <v>1042</v>
      </c>
      <c r="J1" s="111" t="s">
        <v>1043</v>
      </c>
      <c r="K1" s="111" t="s">
        <v>1044</v>
      </c>
      <c r="L1" s="111" t="s">
        <v>1045</v>
      </c>
      <c r="M1" s="111" t="s">
        <v>1046</v>
      </c>
      <c r="N1" s="111" t="s">
        <v>1047</v>
      </c>
      <c r="O1" s="111" t="s">
        <v>1048</v>
      </c>
      <c r="P1" s="111" t="s">
        <v>1049</v>
      </c>
      <c r="Q1" s="111" t="s">
        <v>1050</v>
      </c>
      <c r="R1" s="111" t="s">
        <v>1051</v>
      </c>
    </row>
    <row r="2" spans="1:18" ht="15.75">
      <c r="A2" s="24"/>
      <c r="B2" s="174" t="s">
        <v>1052</v>
      </c>
      <c r="C2" s="39" t="s">
        <v>1053</v>
      </c>
      <c r="D2" s="112" t="s">
        <v>1054</v>
      </c>
      <c r="E2" s="39" t="s">
        <v>1055</v>
      </c>
      <c r="F2" s="39" t="s">
        <v>1056</v>
      </c>
      <c r="G2" s="39" t="s">
        <v>1057</v>
      </c>
      <c r="H2" s="39" t="s">
        <v>1058</v>
      </c>
      <c r="I2" s="39" t="s">
        <v>1059</v>
      </c>
      <c r="J2" s="112" t="s">
        <v>1060</v>
      </c>
      <c r="K2" s="39" t="s">
        <v>1061</v>
      </c>
      <c r="L2" s="112" t="s">
        <v>1062</v>
      </c>
      <c r="M2" s="39" t="s">
        <v>1063</v>
      </c>
      <c r="N2" s="39" t="s">
        <v>1064</v>
      </c>
      <c r="O2" s="112" t="s">
        <v>1065</v>
      </c>
      <c r="P2" s="112" t="s">
        <v>1066</v>
      </c>
      <c r="Q2" s="112" t="s">
        <v>1067</v>
      </c>
      <c r="R2" s="112" t="s">
        <v>1068</v>
      </c>
    </row>
    <row r="3" spans="1:18">
      <c r="A3" s="20" t="s">
        <v>36</v>
      </c>
      <c r="B3" s="25" t="s">
        <v>811</v>
      </c>
      <c r="C3" s="81" t="s">
        <v>811</v>
      </c>
      <c r="D3" s="81" t="s">
        <v>811</v>
      </c>
      <c r="E3" s="81" t="s">
        <v>811</v>
      </c>
      <c r="F3" s="81" t="s">
        <v>811</v>
      </c>
      <c r="G3" s="81" t="s">
        <v>811</v>
      </c>
      <c r="H3" s="81" t="s">
        <v>811</v>
      </c>
      <c r="I3" s="81" t="s">
        <v>811</v>
      </c>
      <c r="J3" s="81" t="s">
        <v>811</v>
      </c>
      <c r="K3" s="81" t="s">
        <v>811</v>
      </c>
      <c r="L3" s="81" t="s">
        <v>1069</v>
      </c>
      <c r="M3" s="81" t="s">
        <v>1069</v>
      </c>
      <c r="N3" s="81" t="s">
        <v>811</v>
      </c>
      <c r="O3" s="81" t="s">
        <v>1070</v>
      </c>
      <c r="P3" s="81" t="s">
        <v>1071</v>
      </c>
      <c r="Q3" s="81" t="s">
        <v>811</v>
      </c>
      <c r="R3" s="81" t="s">
        <v>1072</v>
      </c>
    </row>
    <row r="4" spans="1:18">
      <c r="A4" s="20" t="s">
        <v>38</v>
      </c>
      <c r="B4" s="25" t="s">
        <v>812</v>
      </c>
      <c r="C4" s="81" t="s">
        <v>812</v>
      </c>
      <c r="D4" s="81" t="s">
        <v>1073</v>
      </c>
      <c r="E4" s="81" t="s">
        <v>1074</v>
      </c>
      <c r="F4" s="81" t="s">
        <v>1074</v>
      </c>
      <c r="G4" s="81" t="s">
        <v>1075</v>
      </c>
      <c r="H4" s="81" t="s">
        <v>1076</v>
      </c>
      <c r="I4" s="81" t="s">
        <v>812</v>
      </c>
      <c r="J4" s="81" t="s">
        <v>813</v>
      </c>
      <c r="K4" s="81" t="s">
        <v>1076</v>
      </c>
      <c r="L4" s="81" t="s">
        <v>1073</v>
      </c>
      <c r="M4" s="81" t="s">
        <v>812</v>
      </c>
      <c r="N4" s="81" t="s">
        <v>812</v>
      </c>
      <c r="O4" s="81" t="s">
        <v>1075</v>
      </c>
      <c r="P4" s="81" t="s">
        <v>812</v>
      </c>
      <c r="Q4" s="81" t="s">
        <v>813</v>
      </c>
      <c r="R4" s="81" t="s">
        <v>812</v>
      </c>
    </row>
    <row r="5" spans="1:18">
      <c r="A5" s="20" t="s">
        <v>42</v>
      </c>
      <c r="B5" s="25" t="s">
        <v>817</v>
      </c>
      <c r="C5" s="81" t="s">
        <v>817</v>
      </c>
      <c r="D5" s="81" t="s">
        <v>817</v>
      </c>
      <c r="E5" s="81" t="s">
        <v>817</v>
      </c>
      <c r="F5" s="81" t="s">
        <v>817</v>
      </c>
      <c r="G5" s="81" t="s">
        <v>817</v>
      </c>
      <c r="H5" s="81" t="s">
        <v>817</v>
      </c>
      <c r="I5" s="81" t="s">
        <v>817</v>
      </c>
      <c r="J5" s="81" t="s">
        <v>817</v>
      </c>
      <c r="K5" s="81" t="s">
        <v>817</v>
      </c>
      <c r="L5" s="81" t="s">
        <v>817</v>
      </c>
      <c r="M5" s="81" t="s">
        <v>817</v>
      </c>
      <c r="N5" s="81" t="s">
        <v>817</v>
      </c>
      <c r="O5" s="81" t="s">
        <v>817</v>
      </c>
      <c r="P5" s="81" t="s">
        <v>817</v>
      </c>
      <c r="Q5" s="81" t="s">
        <v>682</v>
      </c>
      <c r="R5" s="81" t="s">
        <v>817</v>
      </c>
    </row>
    <row r="6" spans="1:18">
      <c r="A6" s="20" t="s">
        <v>48</v>
      </c>
      <c r="B6" s="25" t="s">
        <v>1077</v>
      </c>
      <c r="C6" s="81" t="s">
        <v>241</v>
      </c>
      <c r="D6" s="81" t="s">
        <v>241</v>
      </c>
      <c r="E6" s="81" t="s">
        <v>241</v>
      </c>
      <c r="F6" s="81" t="s">
        <v>241</v>
      </c>
      <c r="G6" s="81" t="s">
        <v>241</v>
      </c>
      <c r="H6" s="81" t="s">
        <v>241</v>
      </c>
      <c r="I6" s="81" t="s">
        <v>241</v>
      </c>
      <c r="J6" s="81" t="s">
        <v>251</v>
      </c>
      <c r="K6" s="81" t="s">
        <v>241</v>
      </c>
      <c r="L6" s="81" t="s">
        <v>241</v>
      </c>
      <c r="M6" s="81" t="s">
        <v>241</v>
      </c>
      <c r="N6" s="81" t="s">
        <v>241</v>
      </c>
      <c r="O6" s="81" t="s">
        <v>241</v>
      </c>
      <c r="P6" s="81" t="s">
        <v>241</v>
      </c>
      <c r="Q6" s="81" t="s">
        <v>817</v>
      </c>
      <c r="R6" s="81" t="s">
        <v>241</v>
      </c>
    </row>
    <row r="7" spans="1:18">
      <c r="A7" s="20" t="s">
        <v>534</v>
      </c>
      <c r="B7" s="25" t="s">
        <v>253</v>
      </c>
      <c r="C7" s="81" t="s">
        <v>251</v>
      </c>
      <c r="D7" s="81" t="s">
        <v>251</v>
      </c>
      <c r="E7" s="81" t="s">
        <v>251</v>
      </c>
      <c r="F7" s="81" t="s">
        <v>253</v>
      </c>
      <c r="G7" s="81" t="s">
        <v>251</v>
      </c>
      <c r="H7" s="81" t="s">
        <v>253</v>
      </c>
      <c r="I7" s="81" t="s">
        <v>253</v>
      </c>
      <c r="J7" s="81" t="s">
        <v>252</v>
      </c>
      <c r="K7" s="81" t="s">
        <v>253</v>
      </c>
      <c r="L7" s="81" t="s">
        <v>251</v>
      </c>
      <c r="M7" s="81" t="s">
        <v>251</v>
      </c>
      <c r="N7" s="81" t="s">
        <v>253</v>
      </c>
      <c r="O7" s="81" t="s">
        <v>251</v>
      </c>
      <c r="P7" s="81" t="s">
        <v>259</v>
      </c>
      <c r="Q7" s="81" t="s">
        <v>241</v>
      </c>
      <c r="R7" s="81" t="s">
        <v>251</v>
      </c>
    </row>
    <row r="8" spans="1:18">
      <c r="A8" s="20" t="s">
        <v>824</v>
      </c>
      <c r="B8" s="25" t="s">
        <v>241</v>
      </c>
      <c r="C8" s="81"/>
      <c r="D8" s="81"/>
      <c r="E8" s="81" t="s">
        <v>520</v>
      </c>
      <c r="F8" s="32"/>
      <c r="G8" s="81"/>
      <c r="H8" s="81" t="s">
        <v>520</v>
      </c>
      <c r="I8" s="81" t="s">
        <v>520</v>
      </c>
      <c r="J8" s="81" t="s">
        <v>241</v>
      </c>
      <c r="K8" s="81" t="s">
        <v>515</v>
      </c>
      <c r="L8" s="81"/>
      <c r="M8" s="81"/>
      <c r="N8" s="81"/>
      <c r="O8" s="81"/>
      <c r="P8" s="81" t="s">
        <v>256</v>
      </c>
      <c r="Q8" s="81" t="s">
        <v>251</v>
      </c>
      <c r="R8" s="81"/>
    </row>
    <row r="9" spans="1:18" ht="15.75" thickBot="1">
      <c r="A9" s="20" t="s">
        <v>1078</v>
      </c>
      <c r="B9" s="25" t="s">
        <v>520</v>
      </c>
      <c r="C9" s="81"/>
      <c r="D9" s="81"/>
      <c r="E9" s="81"/>
      <c r="F9" s="32"/>
      <c r="G9" s="81"/>
      <c r="H9" s="81"/>
      <c r="I9" s="81"/>
      <c r="J9" s="81"/>
      <c r="K9" s="81"/>
      <c r="L9" s="81"/>
      <c r="M9" s="81"/>
      <c r="N9" s="81"/>
      <c r="O9" s="81"/>
      <c r="P9" s="81" t="s">
        <v>1079</v>
      </c>
      <c r="Q9" s="81"/>
      <c r="R9" s="81"/>
    </row>
    <row r="10" spans="1:18" ht="255.75" thickBot="1">
      <c r="A10" s="20" t="s">
        <v>50</v>
      </c>
      <c r="B10" s="181" t="s">
        <v>1080</v>
      </c>
      <c r="C10" s="82" t="s">
        <v>1081</v>
      </c>
      <c r="D10" s="82" t="s">
        <v>1082</v>
      </c>
      <c r="E10" s="82" t="s">
        <v>1083</v>
      </c>
      <c r="F10" s="82" t="s">
        <v>1084</v>
      </c>
      <c r="G10" s="82" t="s">
        <v>1085</v>
      </c>
      <c r="H10" s="82" t="s">
        <v>1086</v>
      </c>
      <c r="I10" s="181" t="s">
        <v>1087</v>
      </c>
      <c r="J10" s="82" t="s">
        <v>1088</v>
      </c>
      <c r="K10" s="82" t="s">
        <v>1089</v>
      </c>
      <c r="L10" s="82" t="s">
        <v>1090</v>
      </c>
      <c r="M10" s="82" t="s">
        <v>1091</v>
      </c>
      <c r="N10" s="82" t="s">
        <v>1092</v>
      </c>
      <c r="O10" s="82" t="s">
        <v>1093</v>
      </c>
      <c r="P10" s="82" t="s">
        <v>1094</v>
      </c>
      <c r="Q10" s="82" t="s">
        <v>1095</v>
      </c>
      <c r="R10" s="82" t="s">
        <v>1096</v>
      </c>
    </row>
    <row r="11" spans="1:18" ht="15.75" thickBot="1">
      <c r="A11" s="103" t="s">
        <v>63</v>
      </c>
      <c r="B11" s="178">
        <v>3100</v>
      </c>
      <c r="C11" s="178">
        <v>3100</v>
      </c>
      <c r="D11" s="178">
        <v>3100</v>
      </c>
      <c r="E11" s="178">
        <v>3100</v>
      </c>
      <c r="F11" s="178">
        <v>3100</v>
      </c>
      <c r="G11" s="178">
        <v>3100</v>
      </c>
      <c r="H11" s="178">
        <v>3100</v>
      </c>
      <c r="I11" s="178">
        <v>3100</v>
      </c>
      <c r="J11" s="178">
        <v>3100</v>
      </c>
      <c r="K11" s="178">
        <v>3100</v>
      </c>
      <c r="L11" s="178">
        <v>3100</v>
      </c>
      <c r="M11" s="178">
        <v>3100</v>
      </c>
      <c r="N11" s="178">
        <v>3100</v>
      </c>
      <c r="O11" s="178">
        <v>3100</v>
      </c>
      <c r="P11" s="178">
        <v>3101</v>
      </c>
      <c r="Q11" s="178">
        <v>3101</v>
      </c>
      <c r="R11" s="178">
        <v>3101</v>
      </c>
    </row>
    <row r="12" spans="1:18">
      <c r="A12" s="136" t="s">
        <v>81</v>
      </c>
      <c r="B12" s="133" t="s">
        <v>318</v>
      </c>
      <c r="C12" s="137" t="s">
        <v>318</v>
      </c>
      <c r="D12" s="133" t="s">
        <v>318</v>
      </c>
      <c r="E12" s="137" t="s">
        <v>318</v>
      </c>
      <c r="F12" s="133" t="s">
        <v>318</v>
      </c>
      <c r="G12" s="137" t="s">
        <v>318</v>
      </c>
      <c r="H12" s="133" t="s">
        <v>318</v>
      </c>
      <c r="I12" s="137" t="s">
        <v>318</v>
      </c>
      <c r="J12" s="133" t="s">
        <v>318</v>
      </c>
      <c r="K12" s="137" t="s">
        <v>318</v>
      </c>
      <c r="L12" s="133" t="s">
        <v>318</v>
      </c>
      <c r="M12" s="137" t="s">
        <v>318</v>
      </c>
      <c r="N12" s="133" t="s">
        <v>318</v>
      </c>
      <c r="O12" s="137" t="s">
        <v>318</v>
      </c>
      <c r="P12" s="133" t="s">
        <v>318</v>
      </c>
      <c r="Q12" s="137" t="s">
        <v>318</v>
      </c>
      <c r="R12" s="133" t="s">
        <v>318</v>
      </c>
    </row>
    <row r="13" spans="1:18" s="7" customFormat="1">
      <c r="A13" s="97"/>
      <c r="B13" s="134" t="s">
        <v>832</v>
      </c>
      <c r="C13" s="97" t="s">
        <v>832</v>
      </c>
      <c r="D13" s="134" t="s">
        <v>832</v>
      </c>
      <c r="E13" s="97" t="s">
        <v>832</v>
      </c>
      <c r="F13" s="134" t="s">
        <v>832</v>
      </c>
      <c r="G13" s="97" t="s">
        <v>832</v>
      </c>
      <c r="H13" s="134" t="s">
        <v>832</v>
      </c>
      <c r="I13" s="97" t="s">
        <v>832</v>
      </c>
      <c r="J13" s="134" t="s">
        <v>832</v>
      </c>
      <c r="K13" s="97" t="s">
        <v>832</v>
      </c>
      <c r="L13" s="134" t="s">
        <v>832</v>
      </c>
      <c r="M13" s="97" t="s">
        <v>832</v>
      </c>
      <c r="N13" s="134" t="s">
        <v>832</v>
      </c>
      <c r="O13" s="97" t="s">
        <v>832</v>
      </c>
      <c r="P13" s="134" t="s">
        <v>832</v>
      </c>
      <c r="Q13" s="97" t="s">
        <v>832</v>
      </c>
      <c r="R13" s="134" t="s">
        <v>832</v>
      </c>
    </row>
    <row r="14" spans="1:18">
      <c r="A14" s="26"/>
      <c r="B14" s="27" t="s">
        <v>323</v>
      </c>
      <c r="C14" s="27" t="s">
        <v>323</v>
      </c>
      <c r="D14" s="27" t="s">
        <v>323</v>
      </c>
      <c r="E14" s="27" t="s">
        <v>323</v>
      </c>
      <c r="F14" s="27" t="s">
        <v>323</v>
      </c>
      <c r="G14" s="27" t="s">
        <v>323</v>
      </c>
      <c r="H14" s="27" t="s">
        <v>323</v>
      </c>
      <c r="I14" s="27" t="s">
        <v>323</v>
      </c>
      <c r="J14" s="27" t="s">
        <v>323</v>
      </c>
      <c r="K14" s="27" t="s">
        <v>323</v>
      </c>
      <c r="L14" s="27" t="s">
        <v>323</v>
      </c>
      <c r="M14" s="27" t="s">
        <v>323</v>
      </c>
      <c r="N14" s="27" t="s">
        <v>323</v>
      </c>
      <c r="O14" s="27" t="s">
        <v>323</v>
      </c>
      <c r="P14" s="27" t="s">
        <v>323</v>
      </c>
      <c r="Q14" s="36" t="s">
        <v>323</v>
      </c>
      <c r="R14" s="36" t="s">
        <v>323</v>
      </c>
    </row>
    <row r="15" spans="1:18" ht="45">
      <c r="A15" s="21" t="s">
        <v>84</v>
      </c>
      <c r="B15" s="169" t="s">
        <v>1097</v>
      </c>
      <c r="C15" s="169" t="s">
        <v>1098</v>
      </c>
      <c r="D15" s="169" t="s">
        <v>1098</v>
      </c>
      <c r="E15" s="169" t="s">
        <v>1097</v>
      </c>
      <c r="F15" s="169" t="s">
        <v>1098</v>
      </c>
      <c r="G15" s="169" t="s">
        <v>1098</v>
      </c>
      <c r="H15" s="169" t="s">
        <v>1097</v>
      </c>
      <c r="I15" s="169" t="s">
        <v>1097</v>
      </c>
      <c r="J15" s="169" t="s">
        <v>1098</v>
      </c>
      <c r="K15" s="169" t="s">
        <v>1097</v>
      </c>
      <c r="L15" s="169" t="s">
        <v>1098</v>
      </c>
      <c r="M15" s="169" t="s">
        <v>1098</v>
      </c>
      <c r="N15" s="169" t="s">
        <v>1098</v>
      </c>
      <c r="O15" s="169" t="s">
        <v>1098</v>
      </c>
      <c r="P15" s="169" t="s">
        <v>1097</v>
      </c>
      <c r="Q15" s="169" t="s">
        <v>1098</v>
      </c>
      <c r="R15" s="169" t="s">
        <v>1098</v>
      </c>
    </row>
    <row r="16" spans="1:18" ht="105">
      <c r="A16"/>
      <c r="B16" s="19" t="s">
        <v>1099</v>
      </c>
      <c r="C16" s="19" t="s">
        <v>1099</v>
      </c>
      <c r="D16" s="19" t="s">
        <v>1099</v>
      </c>
      <c r="E16" s="19" t="s">
        <v>1100</v>
      </c>
      <c r="F16" s="19" t="s">
        <v>1099</v>
      </c>
      <c r="G16" s="19" t="s">
        <v>1099</v>
      </c>
      <c r="H16" s="19" t="s">
        <v>1099</v>
      </c>
      <c r="I16" s="19" t="s">
        <v>1100</v>
      </c>
      <c r="J16" s="19" t="s">
        <v>1100</v>
      </c>
      <c r="K16" s="19" t="s">
        <v>1100</v>
      </c>
      <c r="L16" s="19" t="s">
        <v>1101</v>
      </c>
      <c r="M16" s="19" t="s">
        <v>1101</v>
      </c>
      <c r="N16" s="19" t="s">
        <v>1100</v>
      </c>
      <c r="O16" s="19" t="s">
        <v>1102</v>
      </c>
      <c r="P16" s="19" t="s">
        <v>1103</v>
      </c>
      <c r="Q16" s="19" t="s">
        <v>1100</v>
      </c>
      <c r="R16" s="19" t="s">
        <v>1104</v>
      </c>
    </row>
    <row r="17" spans="1:18" ht="135">
      <c r="A17" s="21"/>
      <c r="B17" s="19" t="s">
        <v>748</v>
      </c>
      <c r="C17" s="19" t="s">
        <v>1105</v>
      </c>
      <c r="D17" s="19" t="s">
        <v>1105</v>
      </c>
      <c r="E17" s="19" t="s">
        <v>748</v>
      </c>
      <c r="F17" s="19" t="s">
        <v>1106</v>
      </c>
      <c r="G17" s="19" t="s">
        <v>1106</v>
      </c>
      <c r="H17" s="19" t="s">
        <v>748</v>
      </c>
      <c r="I17" s="19" t="s">
        <v>748</v>
      </c>
      <c r="J17" s="19" t="s">
        <v>1106</v>
      </c>
      <c r="K17" s="19" t="s">
        <v>1107</v>
      </c>
      <c r="L17" s="19" t="s">
        <v>1108</v>
      </c>
      <c r="M17" s="19" t="s">
        <v>1108</v>
      </c>
      <c r="N17" s="19" t="s">
        <v>1105</v>
      </c>
      <c r="O17" s="19" t="s">
        <v>1109</v>
      </c>
      <c r="P17" s="19" t="s">
        <v>1110</v>
      </c>
      <c r="Q17" s="19" t="s">
        <v>1111</v>
      </c>
      <c r="R17" s="19" t="s">
        <v>748</v>
      </c>
    </row>
    <row r="18" spans="1:18" ht="90">
      <c r="A18" s="21"/>
      <c r="B18" s="19" t="s">
        <v>1112</v>
      </c>
      <c r="C18" s="19" t="s">
        <v>1113</v>
      </c>
      <c r="D18" s="19" t="s">
        <v>1114</v>
      </c>
      <c r="E18" s="19" t="s">
        <v>1106</v>
      </c>
      <c r="F18" s="19" t="s">
        <v>1115</v>
      </c>
      <c r="G18" s="19" t="s">
        <v>1115</v>
      </c>
      <c r="H18" s="19" t="s">
        <v>1106</v>
      </c>
      <c r="I18" s="19" t="s">
        <v>1105</v>
      </c>
      <c r="J18" s="19" t="s">
        <v>1115</v>
      </c>
      <c r="K18" s="19" t="s">
        <v>1106</v>
      </c>
      <c r="L18" s="19" t="s">
        <v>1114</v>
      </c>
      <c r="M18" s="19" t="s">
        <v>1113</v>
      </c>
      <c r="N18" s="19" t="s">
        <v>1113</v>
      </c>
      <c r="O18" s="19" t="s">
        <v>1115</v>
      </c>
      <c r="P18" s="19" t="s">
        <v>1116</v>
      </c>
      <c r="Q18" s="19" t="s">
        <v>1117</v>
      </c>
      <c r="R18" s="19" t="s">
        <v>1118</v>
      </c>
    </row>
    <row r="19" spans="1:18" ht="105">
      <c r="A19" s="21"/>
      <c r="B19" s="19" t="s">
        <v>1119</v>
      </c>
      <c r="C19" s="19" t="s">
        <v>1120</v>
      </c>
      <c r="D19" s="19" t="s">
        <v>1120</v>
      </c>
      <c r="E19" s="19" t="s">
        <v>1115</v>
      </c>
      <c r="F19" s="19" t="s">
        <v>1121</v>
      </c>
      <c r="G19" s="19" t="s">
        <v>1120</v>
      </c>
      <c r="H19" s="19" t="s">
        <v>1115</v>
      </c>
      <c r="I19" s="19" t="s">
        <v>1122</v>
      </c>
      <c r="J19" s="19" t="s">
        <v>1123</v>
      </c>
      <c r="K19" s="19" t="s">
        <v>1115</v>
      </c>
      <c r="L19" s="19" t="s">
        <v>1124</v>
      </c>
      <c r="M19" s="19" t="s">
        <v>1124</v>
      </c>
      <c r="N19" s="19" t="s">
        <v>1121</v>
      </c>
      <c r="O19" s="19" t="s">
        <v>1125</v>
      </c>
      <c r="P19" s="19" t="s">
        <v>1126</v>
      </c>
      <c r="Q19" s="19" t="s">
        <v>1127</v>
      </c>
      <c r="R19" s="19" t="s">
        <v>1113</v>
      </c>
    </row>
    <row r="20" spans="1:18" ht="105">
      <c r="A20" s="21"/>
      <c r="B20" s="19" t="s">
        <v>1128</v>
      </c>
      <c r="C20" s="19" t="s">
        <v>1129</v>
      </c>
      <c r="D20" s="19" t="s">
        <v>1129</v>
      </c>
      <c r="E20" s="19" t="s">
        <v>1120</v>
      </c>
      <c r="F20" s="19" t="s">
        <v>1129</v>
      </c>
      <c r="G20" s="19" t="s">
        <v>1129</v>
      </c>
      <c r="H20" s="19" t="s">
        <v>1121</v>
      </c>
      <c r="I20" s="19" t="s">
        <v>1121</v>
      </c>
      <c r="J20" s="19" t="s">
        <v>1129</v>
      </c>
      <c r="K20" s="19" t="s">
        <v>1121</v>
      </c>
      <c r="L20" s="19" t="s">
        <v>1130</v>
      </c>
      <c r="M20" s="19" t="s">
        <v>1130</v>
      </c>
      <c r="N20" s="19" t="s">
        <v>1129</v>
      </c>
      <c r="O20" s="19" t="s">
        <v>1131</v>
      </c>
      <c r="P20" s="72"/>
      <c r="Q20" s="19" t="s">
        <v>1132</v>
      </c>
      <c r="R20" s="19" t="s">
        <v>1133</v>
      </c>
    </row>
    <row r="21" spans="1:18" ht="60">
      <c r="B21" s="19" t="s">
        <v>1134</v>
      </c>
      <c r="C21" s="19"/>
      <c r="D21" s="19"/>
      <c r="E21" s="19" t="s">
        <v>1129</v>
      </c>
      <c r="F21" s="30"/>
      <c r="G21" s="19"/>
      <c r="H21" s="19" t="s">
        <v>1129</v>
      </c>
      <c r="I21" s="19" t="s">
        <v>1129</v>
      </c>
      <c r="J21" s="19"/>
      <c r="K21" s="19" t="s">
        <v>1129</v>
      </c>
      <c r="L21" s="19"/>
      <c r="M21" s="19"/>
      <c r="N21" s="19"/>
      <c r="O21" s="19"/>
      <c r="P21" s="72"/>
      <c r="Q21" s="19"/>
      <c r="R21" s="19" t="s">
        <v>1135</v>
      </c>
    </row>
    <row r="22" spans="1:18">
      <c r="A22" s="2"/>
      <c r="B22" s="2"/>
      <c r="C22" s="19"/>
      <c r="D22" s="19"/>
      <c r="E22" s="19"/>
      <c r="F22" s="30"/>
      <c r="G22" s="19"/>
      <c r="H22" s="19"/>
      <c r="I22" s="19"/>
      <c r="J22" s="19"/>
      <c r="K22" s="19"/>
      <c r="L22" s="19"/>
      <c r="M22" s="19"/>
      <c r="N22" s="19"/>
      <c r="O22" s="19"/>
      <c r="P22" s="72"/>
      <c r="Q22" s="30"/>
      <c r="R22" s="30"/>
    </row>
    <row r="23" spans="1:18">
      <c r="A23" s="13" t="s">
        <v>406</v>
      </c>
      <c r="B23" s="104" t="s">
        <v>131</v>
      </c>
      <c r="C23" s="104" t="s">
        <v>131</v>
      </c>
      <c r="D23" s="104" t="s">
        <v>131</v>
      </c>
      <c r="E23" s="104" t="s">
        <v>131</v>
      </c>
      <c r="F23" s="104" t="s">
        <v>131</v>
      </c>
      <c r="G23" s="104" t="s">
        <v>131</v>
      </c>
      <c r="H23" s="104" t="s">
        <v>131</v>
      </c>
      <c r="I23" s="104" t="s">
        <v>131</v>
      </c>
      <c r="J23" s="104" t="s">
        <v>131</v>
      </c>
      <c r="K23" s="104" t="s">
        <v>131</v>
      </c>
      <c r="L23" s="104" t="s">
        <v>131</v>
      </c>
      <c r="M23" s="104" t="s">
        <v>131</v>
      </c>
      <c r="N23" s="104" t="s">
        <v>131</v>
      </c>
      <c r="O23" s="104" t="s">
        <v>131</v>
      </c>
      <c r="P23" s="104" t="s">
        <v>131</v>
      </c>
      <c r="Q23" s="104" t="s">
        <v>131</v>
      </c>
      <c r="R23" s="104" t="s">
        <v>131</v>
      </c>
    </row>
    <row r="24" spans="1:18">
      <c r="A24" s="2"/>
      <c r="B24" s="104" t="s">
        <v>132</v>
      </c>
      <c r="C24" s="104" t="s">
        <v>132</v>
      </c>
      <c r="D24" s="104" t="s">
        <v>132</v>
      </c>
      <c r="E24" s="104" t="s">
        <v>132</v>
      </c>
      <c r="F24" s="104" t="s">
        <v>132</v>
      </c>
      <c r="G24" s="104" t="s">
        <v>132</v>
      </c>
      <c r="H24" s="104" t="s">
        <v>132</v>
      </c>
      <c r="I24" s="104" t="s">
        <v>132</v>
      </c>
      <c r="J24" s="104" t="s">
        <v>132</v>
      </c>
      <c r="K24" s="104" t="s">
        <v>132</v>
      </c>
      <c r="L24" s="104" t="s">
        <v>132</v>
      </c>
      <c r="M24" s="104" t="s">
        <v>132</v>
      </c>
      <c r="N24" s="104" t="s">
        <v>132</v>
      </c>
      <c r="O24" s="104" t="s">
        <v>132</v>
      </c>
      <c r="P24" s="104" t="s">
        <v>132</v>
      </c>
      <c r="Q24" s="104" t="s">
        <v>132</v>
      </c>
      <c r="R24" s="104" t="s">
        <v>132</v>
      </c>
    </row>
    <row r="25" spans="1:18">
      <c r="A25" s="2"/>
      <c r="B25" s="29" t="s">
        <v>133</v>
      </c>
      <c r="C25" s="29" t="s">
        <v>133</v>
      </c>
      <c r="D25" s="29" t="s">
        <v>133</v>
      </c>
      <c r="E25" s="29" t="s">
        <v>133</v>
      </c>
      <c r="F25" s="29" t="s">
        <v>133</v>
      </c>
      <c r="G25" s="29" t="s">
        <v>133</v>
      </c>
      <c r="H25" s="29" t="s">
        <v>133</v>
      </c>
      <c r="I25" s="29" t="s">
        <v>133</v>
      </c>
      <c r="J25" s="29" t="s">
        <v>133</v>
      </c>
      <c r="K25" s="29" t="s">
        <v>133</v>
      </c>
      <c r="L25" s="29" t="s">
        <v>133</v>
      </c>
      <c r="M25" s="29" t="s">
        <v>133</v>
      </c>
      <c r="N25" s="29" t="s">
        <v>133</v>
      </c>
      <c r="O25" s="29" t="s">
        <v>133</v>
      </c>
      <c r="P25" s="29" t="s">
        <v>133</v>
      </c>
      <c r="Q25" s="29" t="s">
        <v>133</v>
      </c>
      <c r="R25" s="29" t="s">
        <v>133</v>
      </c>
    </row>
    <row r="26" spans="1:18">
      <c r="A26" s="2"/>
      <c r="B26" s="31" t="s">
        <v>134</v>
      </c>
      <c r="C26" s="31" t="s">
        <v>134</v>
      </c>
      <c r="D26" s="31" t="s">
        <v>134</v>
      </c>
      <c r="E26" s="31" t="s">
        <v>134</v>
      </c>
      <c r="F26" s="31" t="s">
        <v>134</v>
      </c>
      <c r="G26" s="31" t="s">
        <v>134</v>
      </c>
      <c r="H26" s="31" t="s">
        <v>134</v>
      </c>
      <c r="I26" s="31" t="s">
        <v>134</v>
      </c>
      <c r="J26" s="31" t="s">
        <v>134</v>
      </c>
      <c r="K26" s="31" t="s">
        <v>134</v>
      </c>
      <c r="L26" s="31" t="s">
        <v>134</v>
      </c>
      <c r="M26" s="31" t="s">
        <v>134</v>
      </c>
      <c r="N26" s="31" t="s">
        <v>134</v>
      </c>
      <c r="O26" s="31" t="s">
        <v>134</v>
      </c>
      <c r="P26" s="31" t="s">
        <v>134</v>
      </c>
      <c r="Q26" s="31" t="s">
        <v>134</v>
      </c>
      <c r="R26" s="31" t="s">
        <v>134</v>
      </c>
    </row>
    <row r="27" spans="1:18">
      <c r="B27" s="46" t="s">
        <v>135</v>
      </c>
      <c r="C27" s="46" t="s">
        <v>135</v>
      </c>
      <c r="D27" s="46" t="s">
        <v>135</v>
      </c>
      <c r="E27" s="46" t="s">
        <v>135</v>
      </c>
      <c r="F27" s="46" t="s">
        <v>135</v>
      </c>
      <c r="G27" s="46" t="s">
        <v>135</v>
      </c>
      <c r="H27" s="46" t="s">
        <v>135</v>
      </c>
      <c r="I27" s="46" t="s">
        <v>135</v>
      </c>
      <c r="J27" s="46" t="s">
        <v>135</v>
      </c>
      <c r="K27" s="46" t="s">
        <v>135</v>
      </c>
      <c r="L27" s="46" t="s">
        <v>135</v>
      </c>
      <c r="M27" s="46" t="s">
        <v>135</v>
      </c>
      <c r="N27" s="46" t="s">
        <v>135</v>
      </c>
      <c r="O27" s="46" t="s">
        <v>135</v>
      </c>
      <c r="P27" s="31" t="s">
        <v>135</v>
      </c>
      <c r="Q27" s="46" t="s">
        <v>135</v>
      </c>
      <c r="R27" s="46" t="s">
        <v>135</v>
      </c>
    </row>
    <row r="28" spans="1:18">
      <c r="B28" s="46" t="s">
        <v>409</v>
      </c>
      <c r="C28" s="31" t="s">
        <v>674</v>
      </c>
      <c r="D28" s="31" t="s">
        <v>674</v>
      </c>
      <c r="E28" s="46" t="s">
        <v>674</v>
      </c>
      <c r="F28" s="46" t="s">
        <v>674</v>
      </c>
      <c r="G28" s="46" t="s">
        <v>674</v>
      </c>
      <c r="H28" s="46" t="s">
        <v>674</v>
      </c>
      <c r="I28" s="46" t="s">
        <v>674</v>
      </c>
      <c r="J28" s="46" t="s">
        <v>674</v>
      </c>
      <c r="K28" s="46" t="s">
        <v>674</v>
      </c>
      <c r="L28" s="31" t="s">
        <v>674</v>
      </c>
      <c r="M28" s="31" t="s">
        <v>674</v>
      </c>
      <c r="N28" s="31" t="s">
        <v>674</v>
      </c>
      <c r="O28" s="46" t="s">
        <v>674</v>
      </c>
      <c r="P28" s="31" t="s">
        <v>241</v>
      </c>
      <c r="Q28" s="46" t="s">
        <v>682</v>
      </c>
      <c r="R28" s="31" t="s">
        <v>674</v>
      </c>
    </row>
    <row r="29" spans="1:18">
      <c r="B29" s="46" t="s">
        <v>682</v>
      </c>
      <c r="C29" s="46" t="s">
        <v>241</v>
      </c>
      <c r="D29" s="46" t="s">
        <v>241</v>
      </c>
      <c r="E29" s="46" t="s">
        <v>409</v>
      </c>
      <c r="F29" s="46" t="s">
        <v>855</v>
      </c>
      <c r="G29" s="46" t="s">
        <v>855</v>
      </c>
      <c r="H29" s="46" t="s">
        <v>409</v>
      </c>
      <c r="I29" s="46" t="s">
        <v>409</v>
      </c>
      <c r="J29" s="46" t="s">
        <v>855</v>
      </c>
      <c r="K29" s="31" t="s">
        <v>408</v>
      </c>
      <c r="L29" s="46" t="s">
        <v>241</v>
      </c>
      <c r="M29" s="46" t="s">
        <v>241</v>
      </c>
      <c r="N29" s="46" t="s">
        <v>241</v>
      </c>
      <c r="O29" s="46" t="s">
        <v>855</v>
      </c>
      <c r="P29" s="31" t="s">
        <v>409</v>
      </c>
      <c r="Q29" s="46" t="s">
        <v>850</v>
      </c>
      <c r="R29" s="31" t="s">
        <v>241</v>
      </c>
    </row>
    <row r="30" spans="1:18">
      <c r="B30" s="46" t="s">
        <v>850</v>
      </c>
      <c r="C30" s="46" t="s">
        <v>852</v>
      </c>
      <c r="D30" s="46" t="s">
        <v>854</v>
      </c>
      <c r="E30" s="46" t="s">
        <v>855</v>
      </c>
      <c r="F30" s="46" t="s">
        <v>854</v>
      </c>
      <c r="G30" s="46" t="s">
        <v>854</v>
      </c>
      <c r="H30" s="46" t="s">
        <v>855</v>
      </c>
      <c r="I30" s="46" t="s">
        <v>241</v>
      </c>
      <c r="J30" s="46" t="s">
        <v>854</v>
      </c>
      <c r="K30" s="46" t="s">
        <v>855</v>
      </c>
      <c r="L30" s="46" t="s">
        <v>854</v>
      </c>
      <c r="M30" s="46" t="s">
        <v>852</v>
      </c>
      <c r="N30" s="69" t="s">
        <v>413</v>
      </c>
      <c r="O30" s="46" t="s">
        <v>854</v>
      </c>
      <c r="P30" s="31" t="s">
        <v>1136</v>
      </c>
      <c r="Q30" s="46" t="s">
        <v>855</v>
      </c>
      <c r="R30" s="31" t="s">
        <v>852</v>
      </c>
    </row>
    <row r="31" spans="1:18">
      <c r="B31" s="46" t="s">
        <v>241</v>
      </c>
      <c r="C31" s="46" t="s">
        <v>857</v>
      </c>
      <c r="D31" s="46" t="s">
        <v>852</v>
      </c>
      <c r="E31" s="46" t="s">
        <v>854</v>
      </c>
      <c r="F31" s="46" t="s">
        <v>241</v>
      </c>
      <c r="G31" s="46" t="s">
        <v>241</v>
      </c>
      <c r="H31" s="46" t="s">
        <v>854</v>
      </c>
      <c r="I31" s="69" t="s">
        <v>413</v>
      </c>
      <c r="J31" s="46" t="s">
        <v>241</v>
      </c>
      <c r="K31" s="46" t="s">
        <v>854</v>
      </c>
      <c r="L31" s="46" t="s">
        <v>852</v>
      </c>
      <c r="M31" s="46" t="s">
        <v>857</v>
      </c>
      <c r="N31" s="46" t="s">
        <v>852</v>
      </c>
      <c r="O31" s="46" t="s">
        <v>241</v>
      </c>
      <c r="P31" s="31" t="s">
        <v>1137</v>
      </c>
      <c r="Q31" s="46" t="s">
        <v>854</v>
      </c>
      <c r="R31" s="31" t="s">
        <v>857</v>
      </c>
    </row>
    <row r="32" spans="1:18">
      <c r="B32" s="69" t="s">
        <v>413</v>
      </c>
      <c r="C32" s="46" t="s">
        <v>1138</v>
      </c>
      <c r="D32" s="46" t="s">
        <v>857</v>
      </c>
      <c r="E32" s="46" t="s">
        <v>241</v>
      </c>
      <c r="F32" s="46" t="s">
        <v>413</v>
      </c>
      <c r="G32" s="46" t="s">
        <v>852</v>
      </c>
      <c r="H32" s="46" t="s">
        <v>241</v>
      </c>
      <c r="I32" s="46" t="s">
        <v>852</v>
      </c>
      <c r="J32" s="46" t="s">
        <v>407</v>
      </c>
      <c r="K32" s="46" t="s">
        <v>241</v>
      </c>
      <c r="L32" s="46" t="s">
        <v>857</v>
      </c>
      <c r="M32" s="46" t="s">
        <v>1138</v>
      </c>
      <c r="N32" s="46" t="s">
        <v>857</v>
      </c>
      <c r="O32" s="46" t="s">
        <v>852</v>
      </c>
      <c r="P32" s="31" t="s">
        <v>674</v>
      </c>
      <c r="Q32" s="46" t="s">
        <v>241</v>
      </c>
      <c r="R32" s="31" t="s">
        <v>1139</v>
      </c>
    </row>
    <row r="33" spans="2:18">
      <c r="B33" s="46" t="s">
        <v>852</v>
      </c>
      <c r="C33" s="46" t="s">
        <v>859</v>
      </c>
      <c r="D33" s="46" t="s">
        <v>1138</v>
      </c>
      <c r="E33" s="46" t="s">
        <v>852</v>
      </c>
      <c r="F33" s="46" t="s">
        <v>852</v>
      </c>
      <c r="G33" s="46" t="s">
        <v>857</v>
      </c>
      <c r="H33" s="69" t="s">
        <v>413</v>
      </c>
      <c r="I33" s="46" t="s">
        <v>857</v>
      </c>
      <c r="J33" s="46" t="s">
        <v>852</v>
      </c>
      <c r="K33" s="69" t="s">
        <v>413</v>
      </c>
      <c r="L33" s="46" t="s">
        <v>1138</v>
      </c>
      <c r="M33" s="46" t="s">
        <v>859</v>
      </c>
      <c r="N33" s="46" t="s">
        <v>1138</v>
      </c>
      <c r="O33" s="46" t="s">
        <v>857</v>
      </c>
      <c r="P33" s="31" t="s">
        <v>852</v>
      </c>
      <c r="Q33" s="46" t="s">
        <v>852</v>
      </c>
      <c r="R33" s="31" t="s">
        <v>859</v>
      </c>
    </row>
    <row r="34" spans="2:18">
      <c r="B34" s="46" t="s">
        <v>857</v>
      </c>
      <c r="C34" s="46" t="s">
        <v>147</v>
      </c>
      <c r="D34" s="46" t="s">
        <v>859</v>
      </c>
      <c r="E34" s="46" t="s">
        <v>857</v>
      </c>
      <c r="F34" s="46" t="s">
        <v>857</v>
      </c>
      <c r="G34" s="46" t="s">
        <v>1138</v>
      </c>
      <c r="H34" s="46" t="s">
        <v>852</v>
      </c>
      <c r="I34" s="46" t="s">
        <v>148</v>
      </c>
      <c r="J34" s="46" t="s">
        <v>857</v>
      </c>
      <c r="K34" s="46" t="s">
        <v>852</v>
      </c>
      <c r="L34" s="46" t="s">
        <v>859</v>
      </c>
      <c r="M34" s="46" t="s">
        <v>147</v>
      </c>
      <c r="N34" s="46" t="s">
        <v>859</v>
      </c>
      <c r="O34" s="46" t="s">
        <v>1138</v>
      </c>
      <c r="P34" s="31" t="s">
        <v>857</v>
      </c>
      <c r="Q34" s="46" t="s">
        <v>857</v>
      </c>
      <c r="R34" s="31" t="s">
        <v>147</v>
      </c>
    </row>
    <row r="35" spans="2:18">
      <c r="B35" s="46" t="s">
        <v>148</v>
      </c>
      <c r="D35" s="46" t="s">
        <v>147</v>
      </c>
      <c r="E35" s="46" t="s">
        <v>148</v>
      </c>
      <c r="F35" s="46" t="s">
        <v>1138</v>
      </c>
      <c r="G35" s="46" t="s">
        <v>859</v>
      </c>
      <c r="H35" s="46" t="s">
        <v>857</v>
      </c>
      <c r="I35" s="46" t="s">
        <v>1138</v>
      </c>
      <c r="J35" s="46" t="s">
        <v>1138</v>
      </c>
      <c r="K35" s="46" t="s">
        <v>857</v>
      </c>
      <c r="L35" s="46" t="s">
        <v>147</v>
      </c>
      <c r="N35" s="46" t="s">
        <v>147</v>
      </c>
      <c r="O35" s="46" t="s">
        <v>859</v>
      </c>
      <c r="P35" s="69" t="s">
        <v>420</v>
      </c>
      <c r="Q35" s="46" t="s">
        <v>1138</v>
      </c>
      <c r="R35" s="31"/>
    </row>
    <row r="36" spans="2:18">
      <c r="B36" s="46" t="s">
        <v>1138</v>
      </c>
      <c r="D36" s="31"/>
      <c r="E36" s="46" t="s">
        <v>1138</v>
      </c>
      <c r="F36" s="46" t="s">
        <v>859</v>
      </c>
      <c r="G36" s="46" t="s">
        <v>147</v>
      </c>
      <c r="H36" s="46" t="s">
        <v>148</v>
      </c>
      <c r="I36" s="46" t="s">
        <v>859</v>
      </c>
      <c r="J36" s="46" t="s">
        <v>859</v>
      </c>
      <c r="K36" s="46" t="s">
        <v>148</v>
      </c>
      <c r="L36" s="31"/>
      <c r="O36" s="46" t="s">
        <v>147</v>
      </c>
      <c r="P36" s="69" t="s">
        <v>424</v>
      </c>
      <c r="Q36" s="46" t="s">
        <v>859</v>
      </c>
      <c r="R36" s="72"/>
    </row>
    <row r="37" spans="2:18">
      <c r="B37" s="46" t="s">
        <v>859</v>
      </c>
      <c r="D37" s="31"/>
      <c r="E37" s="46" t="s">
        <v>859</v>
      </c>
      <c r="F37" s="46" t="s">
        <v>147</v>
      </c>
      <c r="H37" s="46" t="s">
        <v>1138</v>
      </c>
      <c r="I37" s="46" t="s">
        <v>147</v>
      </c>
      <c r="J37" s="46" t="s">
        <v>147</v>
      </c>
      <c r="K37" s="46" t="s">
        <v>1138</v>
      </c>
      <c r="L37" s="31"/>
      <c r="P37" s="31" t="s">
        <v>1139</v>
      </c>
      <c r="Q37" s="46" t="s">
        <v>147</v>
      </c>
      <c r="R37" s="72"/>
    </row>
    <row r="38" spans="2:18">
      <c r="B38" s="46" t="s">
        <v>147</v>
      </c>
      <c r="D38" s="31"/>
      <c r="E38" s="46" t="s">
        <v>147</v>
      </c>
      <c r="G38" s="35" t="s">
        <v>860</v>
      </c>
      <c r="H38" s="46" t="s">
        <v>859</v>
      </c>
      <c r="K38" s="46" t="s">
        <v>859</v>
      </c>
      <c r="L38" s="31"/>
      <c r="O38" s="35" t="s">
        <v>860</v>
      </c>
      <c r="P38" s="31" t="s">
        <v>859</v>
      </c>
      <c r="Q38" s="33"/>
      <c r="R38" s="72"/>
    </row>
    <row r="39" spans="2:18">
      <c r="D39" s="31"/>
      <c r="H39" s="46" t="s">
        <v>147</v>
      </c>
      <c r="J39" s="35" t="s">
        <v>860</v>
      </c>
      <c r="K39" s="46" t="s">
        <v>147</v>
      </c>
      <c r="L39" s="110" t="s">
        <v>146</v>
      </c>
      <c r="M39" s="110" t="s">
        <v>146</v>
      </c>
      <c r="P39" s="31" t="s">
        <v>147</v>
      </c>
      <c r="Q39" s="35" t="s">
        <v>860</v>
      </c>
      <c r="R39" s="72"/>
    </row>
    <row r="40" spans="2:18">
      <c r="B40" s="107" t="s">
        <v>425</v>
      </c>
      <c r="C40" s="110" t="s">
        <v>146</v>
      </c>
      <c r="D40" s="110" t="s">
        <v>146</v>
      </c>
      <c r="E40" s="110" t="s">
        <v>146</v>
      </c>
      <c r="F40" s="107" t="s">
        <v>425</v>
      </c>
      <c r="G40" s="110" t="s">
        <v>146</v>
      </c>
      <c r="I40" s="107" t="s">
        <v>425</v>
      </c>
      <c r="J40" s="110" t="s">
        <v>146</v>
      </c>
      <c r="L40" s="110" t="s">
        <v>149</v>
      </c>
      <c r="M40" s="110" t="s">
        <v>149</v>
      </c>
      <c r="N40" s="107" t="s">
        <v>425</v>
      </c>
      <c r="O40" s="110" t="s">
        <v>146</v>
      </c>
      <c r="P40" s="72"/>
      <c r="Q40" s="33"/>
      <c r="R40" s="72"/>
    </row>
    <row r="41" spans="2:18">
      <c r="B41" s="107" t="s">
        <v>426</v>
      </c>
      <c r="C41" s="110" t="s">
        <v>149</v>
      </c>
      <c r="D41" s="110" t="s">
        <v>149</v>
      </c>
      <c r="E41" s="110" t="s">
        <v>149</v>
      </c>
      <c r="F41" s="107" t="s">
        <v>426</v>
      </c>
      <c r="G41" s="110" t="s">
        <v>149</v>
      </c>
      <c r="I41" s="107" t="s">
        <v>426</v>
      </c>
      <c r="J41" s="110" t="s">
        <v>149</v>
      </c>
      <c r="K41" s="107" t="s">
        <v>425</v>
      </c>
      <c r="L41" s="31"/>
      <c r="N41" s="107" t="s">
        <v>426</v>
      </c>
      <c r="O41" s="110" t="s">
        <v>149</v>
      </c>
      <c r="P41" s="72"/>
      <c r="Q41" s="110" t="s">
        <v>146</v>
      </c>
      <c r="R41" s="110" t="s">
        <v>146</v>
      </c>
    </row>
    <row r="42" spans="2:18">
      <c r="B42" s="110" t="s">
        <v>146</v>
      </c>
      <c r="D42" s="37"/>
      <c r="F42" s="110" t="s">
        <v>146</v>
      </c>
      <c r="I42" s="110" t="s">
        <v>146</v>
      </c>
      <c r="K42" s="107" t="s">
        <v>426</v>
      </c>
      <c r="L42" s="37"/>
      <c r="N42" s="110" t="s">
        <v>146</v>
      </c>
      <c r="P42" s="110" t="s">
        <v>415</v>
      </c>
      <c r="Q42" s="110" t="s">
        <v>149</v>
      </c>
      <c r="R42" s="110" t="s">
        <v>149</v>
      </c>
    </row>
    <row r="43" spans="2:18">
      <c r="B43" s="110" t="s">
        <v>149</v>
      </c>
      <c r="D43" s="31"/>
      <c r="F43" s="110" t="s">
        <v>149</v>
      </c>
      <c r="H43" s="107" t="s">
        <v>425</v>
      </c>
      <c r="I43" s="110" t="s">
        <v>149</v>
      </c>
      <c r="K43" s="110" t="s">
        <v>146</v>
      </c>
      <c r="L43" s="31"/>
      <c r="N43" s="110" t="s">
        <v>149</v>
      </c>
      <c r="P43" s="110" t="s">
        <v>149</v>
      </c>
      <c r="Q43" s="33"/>
    </row>
    <row r="44" spans="2:18">
      <c r="H44" s="107" t="s">
        <v>426</v>
      </c>
      <c r="K44" s="110" t="s">
        <v>149</v>
      </c>
      <c r="P44" s="72"/>
    </row>
    <row r="45" spans="2:18">
      <c r="H45" s="110" t="s">
        <v>146</v>
      </c>
      <c r="P45" s="72"/>
    </row>
    <row r="46" spans="2:18">
      <c r="E46" s="19"/>
      <c r="F46" s="35" t="s">
        <v>860</v>
      </c>
      <c r="H46" s="110" t="s">
        <v>149</v>
      </c>
    </row>
    <row r="47" spans="2:18">
      <c r="E47" s="19"/>
    </row>
    <row r="48" spans="2:18">
      <c r="P48" s="69"/>
    </row>
    <row r="49" spans="16:16">
      <c r="P49" s="72"/>
    </row>
    <row r="50" spans="16:16">
      <c r="P50" s="72"/>
    </row>
    <row r="51" spans="16:16">
      <c r="P51" s="72"/>
    </row>
    <row r="52" spans="16:16">
      <c r="P52" s="72"/>
    </row>
    <row r="53" spans="16:16">
      <c r="P53" s="72"/>
    </row>
    <row r="54" spans="16:16">
      <c r="P54" s="72"/>
    </row>
    <row r="55" spans="16:16">
      <c r="P55" s="72"/>
    </row>
    <row r="56" spans="16:16">
      <c r="P56" s="72"/>
    </row>
    <row r="57" spans="16:16">
      <c r="P57" s="72"/>
    </row>
    <row r="58" spans="16:16">
      <c r="P58" s="72"/>
    </row>
    <row r="59" spans="16:16">
      <c r="P59" s="72"/>
    </row>
    <row r="60" spans="16:16">
      <c r="P60" s="72"/>
    </row>
    <row r="61" spans="16:16">
      <c r="P61" s="72"/>
    </row>
    <row r="62" spans="16:16">
      <c r="P62" s="72"/>
    </row>
    <row r="63" spans="16:16">
      <c r="P63" s="72"/>
    </row>
    <row r="64" spans="16:16">
      <c r="P64" s="72"/>
    </row>
    <row r="68" spans="17:17">
      <c r="Q68" s="33"/>
    </row>
    <row r="69" spans="17:17">
      <c r="Q69" s="33"/>
    </row>
    <row r="70" spans="17:17">
      <c r="Q70" s="33"/>
    </row>
  </sheetData>
  <pageMargins left="0.7" right="0.7" top="0.75" bottom="0.75" header="0.3" footer="0.3"/>
  <pageSetup paperSize="8" scale="50" fitToWidth="0" orientation="landscape" verticalDpi="598"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B050"/>
    <pageSetUpPr fitToPage="1"/>
  </sheetPr>
  <dimension ref="A1:K37"/>
  <sheetViews>
    <sheetView topLeftCell="D1" zoomScaleNormal="100" workbookViewId="0">
      <selection activeCell="D7" sqref="D7"/>
    </sheetView>
  </sheetViews>
  <sheetFormatPr defaultColWidth="9" defaultRowHeight="15"/>
  <cols>
    <col min="1" max="1" width="17.125" style="4" bestFit="1" customWidth="1"/>
    <col min="2" max="9" width="37.375" style="1" customWidth="1"/>
    <col min="10" max="11" width="32.25" customWidth="1"/>
  </cols>
  <sheetData>
    <row r="1" spans="1:11">
      <c r="A1" s="61"/>
      <c r="B1" s="117"/>
      <c r="C1" s="117"/>
      <c r="D1" s="117"/>
      <c r="E1" s="117"/>
      <c r="F1" s="117"/>
      <c r="G1" s="117"/>
      <c r="H1" s="117"/>
      <c r="I1" s="117"/>
    </row>
    <row r="2" spans="1:11" ht="15.75">
      <c r="A2" s="9"/>
      <c r="B2" s="174" t="s">
        <v>1140</v>
      </c>
      <c r="C2" s="174" t="s">
        <v>1141</v>
      </c>
      <c r="D2" s="174" t="s">
        <v>1142</v>
      </c>
      <c r="E2" s="174" t="s">
        <v>1143</v>
      </c>
      <c r="F2" s="174" t="s">
        <v>1144</v>
      </c>
      <c r="G2" s="174" t="s">
        <v>1145</v>
      </c>
      <c r="H2" s="174" t="s">
        <v>1146</v>
      </c>
      <c r="I2" s="174" t="s">
        <v>1147</v>
      </c>
    </row>
    <row r="3" spans="1:11">
      <c r="A3" s="10" t="s">
        <v>36</v>
      </c>
      <c r="B3" s="176" t="s">
        <v>1148</v>
      </c>
      <c r="C3" s="176" t="s">
        <v>1148</v>
      </c>
      <c r="D3" s="176" t="s">
        <v>1148</v>
      </c>
      <c r="E3" s="176" t="s">
        <v>1148</v>
      </c>
      <c r="F3" s="176" t="s">
        <v>1149</v>
      </c>
      <c r="G3" s="176" t="s">
        <v>1149</v>
      </c>
      <c r="H3" s="176" t="s">
        <v>1149</v>
      </c>
      <c r="I3" s="176" t="s">
        <v>1149</v>
      </c>
    </row>
    <row r="4" spans="1:11">
      <c r="A4" s="10" t="s">
        <v>38</v>
      </c>
      <c r="B4" s="175" t="s">
        <v>40</v>
      </c>
      <c r="C4" s="175" t="s">
        <v>40</v>
      </c>
      <c r="D4" s="175" t="s">
        <v>40</v>
      </c>
      <c r="E4" s="175" t="s">
        <v>40</v>
      </c>
      <c r="F4" s="175" t="s">
        <v>40</v>
      </c>
      <c r="G4" s="175" t="s">
        <v>40</v>
      </c>
      <c r="H4" s="175" t="s">
        <v>40</v>
      </c>
      <c r="I4" s="175" t="s">
        <v>40</v>
      </c>
    </row>
    <row r="5" spans="1:11">
      <c r="A5" s="10" t="s">
        <v>42</v>
      </c>
      <c r="B5" s="175" t="s">
        <v>1150</v>
      </c>
      <c r="C5" s="175" t="s">
        <v>253</v>
      </c>
      <c r="D5" s="175" t="s">
        <v>1150</v>
      </c>
      <c r="E5" s="175" t="s">
        <v>253</v>
      </c>
      <c r="F5" s="175" t="s">
        <v>1150</v>
      </c>
      <c r="G5" s="175" t="s">
        <v>253</v>
      </c>
      <c r="H5" s="175" t="s">
        <v>1150</v>
      </c>
      <c r="I5" s="175" t="s">
        <v>253</v>
      </c>
    </row>
    <row r="6" spans="1:11">
      <c r="A6" s="10" t="s">
        <v>48</v>
      </c>
      <c r="B6" s="175" t="s">
        <v>1151</v>
      </c>
      <c r="C6" s="175" t="s">
        <v>1151</v>
      </c>
      <c r="D6" s="175" t="s">
        <v>1151</v>
      </c>
      <c r="E6" s="175" t="s">
        <v>1151</v>
      </c>
      <c r="F6" s="175" t="s">
        <v>1151</v>
      </c>
      <c r="G6" s="175" t="s">
        <v>1151</v>
      </c>
      <c r="H6" s="175" t="s">
        <v>1151</v>
      </c>
      <c r="I6" s="175" t="s">
        <v>1151</v>
      </c>
    </row>
    <row r="7" spans="1:11">
      <c r="A7" s="10" t="s">
        <v>534</v>
      </c>
      <c r="B7" s="175" t="s">
        <v>1152</v>
      </c>
      <c r="C7" s="175" t="s">
        <v>1152</v>
      </c>
      <c r="D7" s="175" t="s">
        <v>1152</v>
      </c>
      <c r="E7" s="175" t="s">
        <v>1152</v>
      </c>
      <c r="F7" s="175" t="s">
        <v>1152</v>
      </c>
      <c r="G7" s="175" t="s">
        <v>1152</v>
      </c>
      <c r="H7" s="175" t="s">
        <v>1152</v>
      </c>
      <c r="I7" s="175" t="s">
        <v>1152</v>
      </c>
    </row>
    <row r="8" spans="1:11" ht="15.75" thickBot="1">
      <c r="A8" s="10" t="s">
        <v>824</v>
      </c>
      <c r="B8" s="177" t="s">
        <v>1153</v>
      </c>
      <c r="C8" s="177" t="s">
        <v>1153</v>
      </c>
      <c r="D8" s="177" t="s">
        <v>1154</v>
      </c>
      <c r="E8" s="177" t="s">
        <v>1155</v>
      </c>
      <c r="F8" s="177" t="s">
        <v>1156</v>
      </c>
      <c r="G8" s="177" t="s">
        <v>1156</v>
      </c>
      <c r="H8" s="177" t="s">
        <v>1155</v>
      </c>
      <c r="I8" s="177" t="s">
        <v>1155</v>
      </c>
    </row>
    <row r="9" spans="1:11" ht="150.75" thickBot="1">
      <c r="A9" s="20" t="s">
        <v>50</v>
      </c>
      <c r="B9" s="181" t="s">
        <v>1157</v>
      </c>
      <c r="C9" s="181" t="s">
        <v>1158</v>
      </c>
      <c r="D9" s="181" t="s">
        <v>1159</v>
      </c>
      <c r="E9" s="181" t="s">
        <v>1160</v>
      </c>
      <c r="F9" s="181" t="s">
        <v>1161</v>
      </c>
      <c r="G9" s="181" t="s">
        <v>1162</v>
      </c>
      <c r="H9" s="181" t="s">
        <v>1161</v>
      </c>
      <c r="I9" s="181" t="s">
        <v>1162</v>
      </c>
    </row>
    <row r="10" spans="1:11" ht="15.75" thickBot="1">
      <c r="A10" s="103" t="s">
        <v>63</v>
      </c>
      <c r="B10" s="106">
        <v>2300</v>
      </c>
      <c r="C10" s="106">
        <v>2300</v>
      </c>
      <c r="D10" s="106">
        <v>1300</v>
      </c>
      <c r="E10" s="106">
        <v>1300</v>
      </c>
      <c r="F10" s="106">
        <v>2300</v>
      </c>
      <c r="G10" s="106">
        <v>2300</v>
      </c>
      <c r="H10" s="106">
        <v>1300</v>
      </c>
      <c r="I10" s="106">
        <v>1300</v>
      </c>
    </row>
    <row r="11" spans="1:11">
      <c r="A11" s="136" t="s">
        <v>81</v>
      </c>
      <c r="B11" s="133" t="s">
        <v>555</v>
      </c>
      <c r="C11" s="137" t="s">
        <v>555</v>
      </c>
      <c r="D11" s="133" t="s">
        <v>555</v>
      </c>
      <c r="E11" s="137" t="s">
        <v>555</v>
      </c>
      <c r="F11" s="133" t="s">
        <v>555</v>
      </c>
      <c r="G11" s="137" t="s">
        <v>555</v>
      </c>
      <c r="H11" s="133" t="s">
        <v>555</v>
      </c>
      <c r="I11" s="137" t="s">
        <v>555</v>
      </c>
    </row>
    <row r="12" spans="1:11" s="7" customFormat="1">
      <c r="A12" s="138"/>
      <c r="B12" s="134" t="s">
        <v>1163</v>
      </c>
      <c r="C12" s="138" t="s">
        <v>1163</v>
      </c>
      <c r="D12" s="134" t="s">
        <v>1164</v>
      </c>
      <c r="E12" s="138" t="s">
        <v>1164</v>
      </c>
      <c r="F12" s="134" t="s">
        <v>1163</v>
      </c>
      <c r="G12" s="138" t="s">
        <v>1163</v>
      </c>
      <c r="H12" s="134" t="s">
        <v>1164</v>
      </c>
      <c r="I12" s="138" t="s">
        <v>1164</v>
      </c>
    </row>
    <row r="13" spans="1:11">
      <c r="A13" s="14"/>
      <c r="B13" s="116" t="s">
        <v>83</v>
      </c>
      <c r="C13" s="116" t="s">
        <v>83</v>
      </c>
      <c r="D13" s="116" t="s">
        <v>83</v>
      </c>
      <c r="E13" s="116" t="s">
        <v>83</v>
      </c>
      <c r="F13" s="116" t="s">
        <v>83</v>
      </c>
      <c r="G13" s="116" t="s">
        <v>83</v>
      </c>
      <c r="H13" s="116" t="s">
        <v>83</v>
      </c>
      <c r="I13" s="116" t="s">
        <v>83</v>
      </c>
    </row>
    <row r="14" spans="1:11" s="49" customFormat="1" ht="45">
      <c r="A14" s="5" t="s">
        <v>84</v>
      </c>
      <c r="B14" s="169" t="s">
        <v>1165</v>
      </c>
      <c r="C14" s="169" t="s">
        <v>1165</v>
      </c>
      <c r="D14" s="169" t="s">
        <v>1166</v>
      </c>
      <c r="E14" s="169" t="s">
        <v>1166</v>
      </c>
      <c r="F14" s="169" t="s">
        <v>1167</v>
      </c>
      <c r="G14" s="169" t="s">
        <v>1167</v>
      </c>
      <c r="H14" s="169" t="s">
        <v>1168</v>
      </c>
      <c r="I14" s="169" t="s">
        <v>1168</v>
      </c>
    </row>
    <row r="15" spans="1:11" ht="80.25" customHeight="1">
      <c r="A15"/>
      <c r="B15" s="60" t="s">
        <v>1169</v>
      </c>
      <c r="C15" s="60" t="s">
        <v>1169</v>
      </c>
      <c r="D15" s="60" t="s">
        <v>1169</v>
      </c>
      <c r="E15" s="60" t="s">
        <v>1169</v>
      </c>
      <c r="F15" s="60" t="s">
        <v>1169</v>
      </c>
      <c r="G15" s="60" t="s">
        <v>1169</v>
      </c>
      <c r="H15" s="60" t="s">
        <v>1169</v>
      </c>
      <c r="I15" s="60" t="s">
        <v>1169</v>
      </c>
    </row>
    <row r="16" spans="1:11" ht="195">
      <c r="A16" s="6"/>
      <c r="B16" s="30" t="s">
        <v>1170</v>
      </c>
      <c r="C16" s="30" t="s">
        <v>1171</v>
      </c>
      <c r="D16" s="60" t="s">
        <v>1172</v>
      </c>
      <c r="E16" s="60" t="s">
        <v>1173</v>
      </c>
      <c r="F16" s="30" t="s">
        <v>1174</v>
      </c>
      <c r="G16" s="30" t="s">
        <v>1175</v>
      </c>
      <c r="H16" s="19" t="s">
        <v>1176</v>
      </c>
      <c r="I16" s="19" t="s">
        <v>1177</v>
      </c>
      <c r="J16" s="60"/>
      <c r="K16" s="60"/>
    </row>
    <row r="17" spans="1:9">
      <c r="A17" s="6"/>
      <c r="B17" s="60"/>
      <c r="C17" s="60"/>
      <c r="D17" s="60"/>
      <c r="E17" s="60"/>
      <c r="F17" s="60"/>
      <c r="G17" s="60"/>
      <c r="H17" s="60"/>
      <c r="I17" s="60"/>
    </row>
    <row r="18" spans="1:9">
      <c r="A18" s="47"/>
      <c r="B18" s="30"/>
      <c r="C18" s="60"/>
      <c r="D18" s="60"/>
      <c r="E18" s="60"/>
      <c r="F18" s="60"/>
      <c r="G18" s="60"/>
      <c r="H18" s="60"/>
      <c r="I18" s="60"/>
    </row>
    <row r="19" spans="1:9">
      <c r="A19" s="47"/>
      <c r="B19" s="60"/>
      <c r="C19" s="2"/>
      <c r="D19" s="2"/>
      <c r="E19" s="2"/>
      <c r="F19" s="2"/>
      <c r="G19" s="2"/>
      <c r="H19" s="2"/>
      <c r="I19" s="2"/>
    </row>
    <row r="20" spans="1:9">
      <c r="A20" s="13" t="s">
        <v>406</v>
      </c>
      <c r="B20" s="60"/>
    </row>
    <row r="21" spans="1:9">
      <c r="A21" s="15"/>
      <c r="B21" s="69" t="s">
        <v>1178</v>
      </c>
      <c r="C21" s="69" t="s">
        <v>1178</v>
      </c>
      <c r="D21" s="69" t="s">
        <v>1178</v>
      </c>
      <c r="E21" s="69" t="s">
        <v>1178</v>
      </c>
      <c r="F21" s="69" t="s">
        <v>1178</v>
      </c>
      <c r="G21" s="69" t="s">
        <v>1178</v>
      </c>
      <c r="H21" s="69" t="s">
        <v>1178</v>
      </c>
      <c r="I21" s="69" t="s">
        <v>1178</v>
      </c>
    </row>
    <row r="22" spans="1:9">
      <c r="A22" s="13"/>
      <c r="B22" s="12" t="s">
        <v>1179</v>
      </c>
      <c r="C22" s="12" t="s">
        <v>1179</v>
      </c>
      <c r="D22" s="12" t="s">
        <v>1179</v>
      </c>
      <c r="E22" s="12" t="s">
        <v>1179</v>
      </c>
      <c r="F22" s="12" t="s">
        <v>1179</v>
      </c>
      <c r="G22" s="12" t="s">
        <v>1179</v>
      </c>
      <c r="H22" s="12" t="s">
        <v>1179</v>
      </c>
      <c r="I22" s="12" t="s">
        <v>1179</v>
      </c>
    </row>
    <row r="23" spans="1:9">
      <c r="A23" s="13"/>
      <c r="B23" s="12" t="s">
        <v>1180</v>
      </c>
      <c r="C23" s="12" t="s">
        <v>1180</v>
      </c>
      <c r="D23" s="12" t="s">
        <v>1180</v>
      </c>
      <c r="E23" s="12" t="s">
        <v>1180</v>
      </c>
      <c r="F23" s="12" t="s">
        <v>1180</v>
      </c>
      <c r="G23" s="12" t="s">
        <v>1180</v>
      </c>
      <c r="H23" s="12" t="s">
        <v>1180</v>
      </c>
      <c r="I23" s="12" t="s">
        <v>1180</v>
      </c>
    </row>
    <row r="24" spans="1:9">
      <c r="A24" s="13"/>
      <c r="B24" s="12" t="s">
        <v>134</v>
      </c>
      <c r="C24" s="69" t="s">
        <v>413</v>
      </c>
      <c r="D24" s="12" t="s">
        <v>134</v>
      </c>
      <c r="E24" s="69" t="s">
        <v>413</v>
      </c>
      <c r="F24" s="12" t="s">
        <v>134</v>
      </c>
      <c r="G24" s="69" t="s">
        <v>413</v>
      </c>
      <c r="H24" s="12" t="s">
        <v>134</v>
      </c>
      <c r="I24" s="69" t="s">
        <v>413</v>
      </c>
    </row>
    <row r="25" spans="1:9">
      <c r="A25" s="13"/>
      <c r="C25" s="12" t="s">
        <v>134</v>
      </c>
      <c r="D25" s="12"/>
      <c r="E25" s="12" t="s">
        <v>134</v>
      </c>
      <c r="F25" s="12"/>
      <c r="G25" s="12" t="s">
        <v>134</v>
      </c>
      <c r="H25" s="12"/>
      <c r="I25" s="12" t="s">
        <v>134</v>
      </c>
    </row>
    <row r="26" spans="1:9">
      <c r="A26" s="12"/>
      <c r="B26" s="12"/>
      <c r="C26" s="12"/>
      <c r="D26" s="12"/>
      <c r="E26" s="12"/>
      <c r="F26" s="12"/>
      <c r="G26" s="12"/>
      <c r="H26" s="12"/>
      <c r="I26" s="12"/>
    </row>
    <row r="27" spans="1:9">
      <c r="A27" s="13"/>
      <c r="B27" s="69"/>
      <c r="C27" s="12"/>
      <c r="D27" s="12"/>
      <c r="E27" s="12"/>
      <c r="F27" s="12"/>
      <c r="G27" s="12"/>
      <c r="H27" s="12"/>
      <c r="I27" s="12"/>
    </row>
    <row r="28" spans="1:9">
      <c r="A28" s="13"/>
      <c r="B28" s="12"/>
      <c r="C28" s="12"/>
      <c r="D28" s="12"/>
      <c r="E28" s="12"/>
      <c r="F28" s="12"/>
      <c r="G28" s="12"/>
      <c r="H28" s="12"/>
      <c r="I28" s="12"/>
    </row>
    <row r="29" spans="1:9">
      <c r="A29" s="13"/>
      <c r="B29" s="12"/>
      <c r="C29" s="12"/>
      <c r="D29" s="12"/>
      <c r="E29" s="12"/>
      <c r="F29" s="12"/>
      <c r="G29" s="12"/>
      <c r="H29" s="12"/>
      <c r="I29" s="12"/>
    </row>
    <row r="30" spans="1:9">
      <c r="A30" s="13"/>
      <c r="B30" s="12"/>
      <c r="E30" s="12"/>
      <c r="G30" s="12"/>
      <c r="I30" s="12"/>
    </row>
    <row r="31" spans="1:9">
      <c r="A31" s="13"/>
    </row>
    <row r="32" spans="1:9">
      <c r="A32" s="13"/>
    </row>
    <row r="33" spans="1:9">
      <c r="A33" s="13"/>
    </row>
    <row r="34" spans="1:9">
      <c r="A34" s="13"/>
      <c r="B34" s="12"/>
    </row>
    <row r="35" spans="1:9">
      <c r="A35" s="13"/>
    </row>
    <row r="36" spans="1:9">
      <c r="A36" s="13"/>
      <c r="C36" s="12"/>
      <c r="D36" s="12"/>
      <c r="F36" s="12"/>
      <c r="H36" s="12"/>
    </row>
    <row r="37" spans="1:9">
      <c r="A37" s="13"/>
      <c r="E37" s="12"/>
      <c r="G37" s="12"/>
      <c r="I37" s="12"/>
    </row>
  </sheetData>
  <pageMargins left="0.7" right="0.7" top="0.75" bottom="0.75" header="0.3" footer="0.3"/>
  <pageSetup paperSize="8" scale="95" fitToWidth="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00B050"/>
    <pageSetUpPr fitToPage="1"/>
  </sheetPr>
  <dimension ref="A1:I39"/>
  <sheetViews>
    <sheetView zoomScaleNormal="100" workbookViewId="0">
      <selection sqref="A1:XFD1"/>
    </sheetView>
  </sheetViews>
  <sheetFormatPr defaultColWidth="9" defaultRowHeight="15"/>
  <cols>
    <col min="1" max="1" width="17.125" style="4" bestFit="1" customWidth="1"/>
    <col min="2" max="5" width="37.375" style="1" customWidth="1"/>
  </cols>
  <sheetData>
    <row r="1" spans="1:9">
      <c r="A1" s="61"/>
      <c r="B1" s="117"/>
      <c r="C1" s="117"/>
      <c r="D1" s="117"/>
      <c r="E1" s="117"/>
    </row>
    <row r="2" spans="1:9" ht="15.75">
      <c r="A2" s="9"/>
      <c r="B2" s="174" t="s">
        <v>1181</v>
      </c>
      <c r="C2" s="174" t="s">
        <v>1182</v>
      </c>
      <c r="D2" s="174" t="s">
        <v>1183</v>
      </c>
      <c r="E2" s="174" t="s">
        <v>1184</v>
      </c>
    </row>
    <row r="3" spans="1:9">
      <c r="A3" s="10" t="s">
        <v>36</v>
      </c>
      <c r="B3" s="176" t="s">
        <v>40</v>
      </c>
      <c r="C3" s="176" t="s">
        <v>40</v>
      </c>
      <c r="D3" s="176" t="s">
        <v>40</v>
      </c>
      <c r="E3" s="176" t="s">
        <v>40</v>
      </c>
    </row>
    <row r="4" spans="1:9">
      <c r="A4" s="10" t="s">
        <v>38</v>
      </c>
      <c r="B4" s="175" t="s">
        <v>1185</v>
      </c>
      <c r="C4" s="175" t="s">
        <v>1185</v>
      </c>
      <c r="D4" s="175" t="s">
        <v>1186</v>
      </c>
      <c r="E4" s="175" t="s">
        <v>1186</v>
      </c>
    </row>
    <row r="5" spans="1:9">
      <c r="A5" s="10" t="s">
        <v>42</v>
      </c>
      <c r="B5" s="175" t="s">
        <v>1187</v>
      </c>
      <c r="C5" s="175" t="s">
        <v>1188</v>
      </c>
      <c r="D5" s="175" t="s">
        <v>1187</v>
      </c>
      <c r="E5" s="175" t="s">
        <v>1188</v>
      </c>
    </row>
    <row r="6" spans="1:9">
      <c r="A6" s="10" t="s">
        <v>48</v>
      </c>
      <c r="B6" s="175" t="s">
        <v>1189</v>
      </c>
      <c r="C6" s="175" t="s">
        <v>1189</v>
      </c>
      <c r="D6" s="175" t="s">
        <v>1189</v>
      </c>
      <c r="E6" s="175" t="s">
        <v>1189</v>
      </c>
    </row>
    <row r="7" spans="1:9">
      <c r="A7" s="10" t="s">
        <v>534</v>
      </c>
      <c r="B7" s="175" t="s">
        <v>1190</v>
      </c>
      <c r="C7" s="175" t="s">
        <v>1190</v>
      </c>
      <c r="D7" s="175" t="s">
        <v>1190</v>
      </c>
      <c r="E7" s="175" t="s">
        <v>1190</v>
      </c>
    </row>
    <row r="8" spans="1:9" ht="15.75" thickBot="1">
      <c r="A8" s="10" t="s">
        <v>824</v>
      </c>
      <c r="B8" s="177" t="s">
        <v>1191</v>
      </c>
      <c r="C8" s="177" t="s">
        <v>1191</v>
      </c>
      <c r="D8" s="177" t="s">
        <v>1191</v>
      </c>
      <c r="E8" s="177" t="s">
        <v>1191</v>
      </c>
    </row>
    <row r="9" spans="1:9" ht="135.75" thickBot="1">
      <c r="A9" s="20" t="s">
        <v>50</v>
      </c>
      <c r="B9" s="181" t="s">
        <v>1192</v>
      </c>
      <c r="C9" s="181" t="s">
        <v>1193</v>
      </c>
      <c r="D9" s="181" t="s">
        <v>1194</v>
      </c>
      <c r="E9" s="181" t="s">
        <v>1195</v>
      </c>
    </row>
    <row r="10" spans="1:9" ht="15.75" thickBot="1">
      <c r="A10" s="103" t="s">
        <v>63</v>
      </c>
      <c r="B10" s="106">
        <v>2100</v>
      </c>
      <c r="C10" s="106">
        <v>2100</v>
      </c>
      <c r="D10" s="106">
        <v>2100</v>
      </c>
      <c r="E10" s="106">
        <v>2100</v>
      </c>
    </row>
    <row r="11" spans="1:9">
      <c r="A11" s="136" t="s">
        <v>81</v>
      </c>
      <c r="B11" s="133" t="s">
        <v>555</v>
      </c>
      <c r="C11" s="137" t="s">
        <v>555</v>
      </c>
      <c r="D11" s="133" t="s">
        <v>555</v>
      </c>
      <c r="E11" s="137" t="s">
        <v>555</v>
      </c>
      <c r="F11" s="129"/>
      <c r="G11" s="129"/>
      <c r="H11" s="129"/>
      <c r="I11" s="129"/>
    </row>
    <row r="12" spans="1:9" s="7" customFormat="1">
      <c r="A12" s="102"/>
      <c r="B12" s="134" t="s">
        <v>557</v>
      </c>
      <c r="C12" s="138" t="s">
        <v>557</v>
      </c>
      <c r="D12" s="134" t="s">
        <v>557</v>
      </c>
      <c r="E12" s="138" t="s">
        <v>557</v>
      </c>
    </row>
    <row r="13" spans="1:9">
      <c r="A13" s="14"/>
      <c r="B13" s="116" t="s">
        <v>83</v>
      </c>
      <c r="C13" s="116" t="s">
        <v>83</v>
      </c>
      <c r="D13" s="116" t="s">
        <v>83</v>
      </c>
      <c r="E13" s="116" t="s">
        <v>83</v>
      </c>
    </row>
    <row r="14" spans="1:9" ht="60">
      <c r="A14" s="5" t="s">
        <v>84</v>
      </c>
      <c r="B14" s="126" t="s">
        <v>1196</v>
      </c>
      <c r="C14" s="126" t="s">
        <v>1196</v>
      </c>
      <c r="D14" s="126" t="s">
        <v>1197</v>
      </c>
      <c r="E14" s="126" t="s">
        <v>1197</v>
      </c>
    </row>
    <row r="15" spans="1:9" ht="53.25" customHeight="1">
      <c r="A15"/>
      <c r="B15" s="60" t="s">
        <v>1198</v>
      </c>
      <c r="C15" s="60" t="s">
        <v>1198</v>
      </c>
      <c r="D15" s="60" t="s">
        <v>1198</v>
      </c>
      <c r="E15" s="60" t="s">
        <v>1198</v>
      </c>
    </row>
    <row r="16" spans="1:9" ht="126.75" customHeight="1">
      <c r="A16" s="6"/>
      <c r="B16" s="60" t="s">
        <v>1199</v>
      </c>
      <c r="C16" s="60" t="s">
        <v>1199</v>
      </c>
      <c r="D16" s="60" t="s">
        <v>1200</v>
      </c>
      <c r="E16" s="60" t="s">
        <v>1200</v>
      </c>
    </row>
    <row r="17" spans="1:5" ht="54.75" customHeight="1">
      <c r="A17" s="47"/>
      <c r="B17" s="60" t="s">
        <v>1201</v>
      </c>
      <c r="C17" s="60" t="s">
        <v>1201</v>
      </c>
      <c r="D17" s="60" t="s">
        <v>1202</v>
      </c>
      <c r="E17" s="60" t="s">
        <v>1202</v>
      </c>
    </row>
    <row r="18" spans="1:5" ht="45">
      <c r="A18" s="47"/>
      <c r="B18" s="60" t="s">
        <v>1203</v>
      </c>
      <c r="C18" s="60"/>
      <c r="D18" s="60" t="s">
        <v>1203</v>
      </c>
      <c r="E18" s="60"/>
    </row>
    <row r="19" spans="1:5">
      <c r="A19" s="47"/>
      <c r="B19" s="30"/>
      <c r="C19" s="60"/>
      <c r="D19" s="60"/>
      <c r="E19" s="60"/>
    </row>
    <row r="20" spans="1:5">
      <c r="A20" s="47"/>
      <c r="B20" s="60"/>
      <c r="C20" s="60"/>
      <c r="D20" s="2"/>
      <c r="E20" s="60"/>
    </row>
    <row r="21" spans="1:5">
      <c r="A21" s="47"/>
      <c r="B21" s="2"/>
      <c r="C21" s="2"/>
      <c r="D21" s="2"/>
      <c r="E21" s="2"/>
    </row>
    <row r="22" spans="1:5">
      <c r="A22" s="13" t="s">
        <v>406</v>
      </c>
      <c r="B22" s="69" t="s">
        <v>1178</v>
      </c>
      <c r="C22" s="69" t="s">
        <v>1178</v>
      </c>
      <c r="D22" s="69" t="s">
        <v>1178</v>
      </c>
      <c r="E22" s="69" t="s">
        <v>1178</v>
      </c>
    </row>
    <row r="23" spans="1:5">
      <c r="A23" s="15"/>
      <c r="B23" s="12" t="s">
        <v>1179</v>
      </c>
      <c r="C23" s="12" t="s">
        <v>1179</v>
      </c>
      <c r="D23" s="12" t="s">
        <v>1179</v>
      </c>
      <c r="E23" s="12" t="s">
        <v>1179</v>
      </c>
    </row>
    <row r="24" spans="1:5">
      <c r="A24" s="13"/>
      <c r="B24" s="12" t="s">
        <v>1204</v>
      </c>
      <c r="C24" s="12" t="s">
        <v>1204</v>
      </c>
      <c r="D24" s="12" t="s">
        <v>1204</v>
      </c>
      <c r="E24" s="12" t="s">
        <v>1204</v>
      </c>
    </row>
    <row r="25" spans="1:5">
      <c r="A25" s="13"/>
      <c r="B25" s="12" t="s">
        <v>1205</v>
      </c>
      <c r="C25" s="12" t="s">
        <v>1205</v>
      </c>
      <c r="D25" s="12" t="s">
        <v>1205</v>
      </c>
      <c r="E25" s="12" t="s">
        <v>1205</v>
      </c>
    </row>
    <row r="26" spans="1:5">
      <c r="A26" s="13"/>
      <c r="B26" s="12" t="s">
        <v>134</v>
      </c>
      <c r="C26" s="12" t="s">
        <v>134</v>
      </c>
      <c r="D26" s="12" t="s">
        <v>134</v>
      </c>
      <c r="E26" s="12" t="s">
        <v>134</v>
      </c>
    </row>
    <row r="27" spans="1:5">
      <c r="A27" s="13"/>
      <c r="B27" s="12" t="s">
        <v>146</v>
      </c>
      <c r="C27" s="12" t="s">
        <v>146</v>
      </c>
      <c r="D27" s="12" t="s">
        <v>146</v>
      </c>
      <c r="E27" s="12" t="s">
        <v>146</v>
      </c>
    </row>
    <row r="28" spans="1:5">
      <c r="A28" s="12"/>
      <c r="B28" s="12" t="s">
        <v>147</v>
      </c>
      <c r="C28" s="12" t="s">
        <v>147</v>
      </c>
      <c r="D28" s="12" t="s">
        <v>147</v>
      </c>
      <c r="E28" s="12" t="s">
        <v>147</v>
      </c>
    </row>
    <row r="29" spans="1:5">
      <c r="A29" s="13"/>
      <c r="B29" s="12"/>
      <c r="C29" s="12"/>
      <c r="D29" s="12"/>
      <c r="E29" s="12"/>
    </row>
    <row r="30" spans="1:5">
      <c r="A30" s="13"/>
      <c r="B30" s="12"/>
      <c r="C30" s="12"/>
      <c r="D30" s="12"/>
      <c r="E30" s="12"/>
    </row>
    <row r="31" spans="1:5">
      <c r="A31" s="13"/>
      <c r="C31" s="12"/>
    </row>
    <row r="32" spans="1:5">
      <c r="A32" s="13"/>
    </row>
    <row r="33" spans="1:5">
      <c r="A33" s="13"/>
    </row>
    <row r="34" spans="1:5">
      <c r="A34" s="13"/>
    </row>
    <row r="35" spans="1:5">
      <c r="A35" s="13"/>
    </row>
    <row r="36" spans="1:5">
      <c r="A36" s="13"/>
    </row>
    <row r="37" spans="1:5">
      <c r="A37" s="13"/>
      <c r="B37" s="12"/>
      <c r="D37" s="12"/>
      <c r="E37" s="12"/>
    </row>
    <row r="38" spans="1:5">
      <c r="A38" s="13"/>
      <c r="C38" s="12"/>
    </row>
    <row r="39" spans="1:5">
      <c r="A39" s="13"/>
    </row>
  </sheetData>
  <pageMargins left="0.7" right="0.7" top="0.75" bottom="0.75" header="0.3" footer="0.3"/>
  <pageSetup paperSize="8" scale="95" fitToWidth="0" orientation="landscape" verticalDpi="598"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B050"/>
    <pageSetUpPr fitToPage="1"/>
  </sheetPr>
  <dimension ref="A1:I38"/>
  <sheetViews>
    <sheetView zoomScaleNormal="100" workbookViewId="0">
      <selection sqref="A1:XFD1"/>
    </sheetView>
  </sheetViews>
  <sheetFormatPr defaultColWidth="9" defaultRowHeight="15"/>
  <cols>
    <col min="1" max="1" width="17.125" style="4" bestFit="1" customWidth="1"/>
    <col min="2" max="5" width="37.375" style="1" customWidth="1"/>
  </cols>
  <sheetData>
    <row r="1" spans="1:9">
      <c r="A1" s="61"/>
      <c r="B1" s="117"/>
      <c r="C1" s="117"/>
      <c r="D1" s="117"/>
      <c r="E1" s="117"/>
    </row>
    <row r="2" spans="1:9" ht="15.75">
      <c r="A2" s="9"/>
      <c r="B2" s="174" t="s">
        <v>1206</v>
      </c>
      <c r="C2" s="174" t="s">
        <v>1207</v>
      </c>
      <c r="D2" s="174" t="s">
        <v>1208</v>
      </c>
      <c r="E2" s="174" t="s">
        <v>1209</v>
      </c>
    </row>
    <row r="3" spans="1:9">
      <c r="A3" s="10" t="s">
        <v>36</v>
      </c>
      <c r="B3" s="176" t="s">
        <v>40</v>
      </c>
      <c r="C3" s="176" t="s">
        <v>40</v>
      </c>
      <c r="D3" s="176" t="s">
        <v>40</v>
      </c>
      <c r="E3" s="176" t="s">
        <v>40</v>
      </c>
    </row>
    <row r="4" spans="1:9">
      <c r="A4" s="10" t="s">
        <v>38</v>
      </c>
      <c r="B4" s="175" t="s">
        <v>1210</v>
      </c>
      <c r="C4" s="175" t="s">
        <v>1210</v>
      </c>
      <c r="D4" s="175" t="s">
        <v>1211</v>
      </c>
      <c r="E4" s="175" t="s">
        <v>1211</v>
      </c>
    </row>
    <row r="5" spans="1:9">
      <c r="A5" s="10" t="s">
        <v>42</v>
      </c>
      <c r="B5" s="175" t="s">
        <v>1151</v>
      </c>
      <c r="C5" s="175" t="s">
        <v>1151</v>
      </c>
      <c r="D5" s="175" t="s">
        <v>1151</v>
      </c>
      <c r="E5" s="175" t="s">
        <v>1151</v>
      </c>
    </row>
    <row r="6" spans="1:9">
      <c r="A6" s="10" t="s">
        <v>48</v>
      </c>
      <c r="B6" s="175" t="s">
        <v>1152</v>
      </c>
      <c r="C6" s="175" t="s">
        <v>1152</v>
      </c>
      <c r="D6" s="175" t="s">
        <v>1152</v>
      </c>
      <c r="E6" s="175" t="s">
        <v>1152</v>
      </c>
    </row>
    <row r="7" spans="1:9">
      <c r="A7" s="10" t="s">
        <v>534</v>
      </c>
      <c r="B7" s="175" t="s">
        <v>1212</v>
      </c>
      <c r="C7" s="175" t="s">
        <v>1212</v>
      </c>
      <c r="D7" s="175" t="s">
        <v>1212</v>
      </c>
      <c r="E7" s="175" t="s">
        <v>1212</v>
      </c>
    </row>
    <row r="8" spans="1:9">
      <c r="A8" s="10"/>
      <c r="B8" s="175" t="s">
        <v>1213</v>
      </c>
      <c r="C8" s="175" t="s">
        <v>1213</v>
      </c>
      <c r="D8" s="175" t="s">
        <v>1213</v>
      </c>
      <c r="E8" s="175" t="s">
        <v>1213</v>
      </c>
    </row>
    <row r="9" spans="1:9" ht="15.75" thickBot="1">
      <c r="A9" s="10" t="s">
        <v>824</v>
      </c>
      <c r="B9" s="175" t="s">
        <v>1150</v>
      </c>
      <c r="C9" s="175" t="s">
        <v>253</v>
      </c>
      <c r="D9" s="175" t="s">
        <v>1150</v>
      </c>
      <c r="E9" s="175" t="s">
        <v>253</v>
      </c>
    </row>
    <row r="10" spans="1:9" ht="210.75" thickBot="1">
      <c r="A10" s="20" t="s">
        <v>50</v>
      </c>
      <c r="B10" s="181" t="s">
        <v>1214</v>
      </c>
      <c r="C10" s="181" t="s">
        <v>1215</v>
      </c>
      <c r="D10" s="181" t="s">
        <v>1216</v>
      </c>
      <c r="E10" s="181" t="s">
        <v>1217</v>
      </c>
    </row>
    <row r="11" spans="1:9" ht="15.75" thickBot="1">
      <c r="A11" s="103" t="s">
        <v>63</v>
      </c>
      <c r="B11" s="106">
        <v>2210</v>
      </c>
      <c r="C11" s="106">
        <v>2210</v>
      </c>
      <c r="D11" s="106">
        <v>2210</v>
      </c>
      <c r="E11" s="106">
        <v>2210</v>
      </c>
    </row>
    <row r="12" spans="1:9">
      <c r="A12" s="136" t="s">
        <v>81</v>
      </c>
      <c r="B12" s="133" t="s">
        <v>555</v>
      </c>
      <c r="C12" s="137" t="s">
        <v>555</v>
      </c>
      <c r="D12" s="133" t="s">
        <v>555</v>
      </c>
      <c r="E12" s="137" t="s">
        <v>555</v>
      </c>
      <c r="F12" s="129"/>
      <c r="G12" s="129"/>
      <c r="H12" s="129"/>
      <c r="I12" s="129"/>
    </row>
    <row r="13" spans="1:9" s="7" customFormat="1">
      <c r="A13" s="102"/>
      <c r="B13" s="134" t="s">
        <v>1218</v>
      </c>
      <c r="C13" s="138" t="s">
        <v>1218</v>
      </c>
      <c r="D13" s="134" t="s">
        <v>1218</v>
      </c>
      <c r="E13" s="138" t="s">
        <v>1218</v>
      </c>
    </row>
    <row r="14" spans="1:9">
      <c r="A14" s="14"/>
      <c r="B14" s="116" t="s">
        <v>83</v>
      </c>
      <c r="C14" s="116" t="s">
        <v>83</v>
      </c>
      <c r="D14" s="116" t="s">
        <v>83</v>
      </c>
      <c r="E14" s="116" t="s">
        <v>83</v>
      </c>
    </row>
    <row r="15" spans="1:9" ht="60">
      <c r="A15" s="5" t="s">
        <v>84</v>
      </c>
      <c r="B15" s="126" t="s">
        <v>1219</v>
      </c>
      <c r="C15" s="126" t="s">
        <v>1219</v>
      </c>
      <c r="D15" s="126" t="s">
        <v>1220</v>
      </c>
      <c r="E15" s="126" t="s">
        <v>1220</v>
      </c>
    </row>
    <row r="16" spans="1:9" ht="75">
      <c r="A16"/>
      <c r="B16" s="60" t="s">
        <v>1221</v>
      </c>
      <c r="C16" s="60" t="s">
        <v>1221</v>
      </c>
      <c r="D16" s="60" t="s">
        <v>1221</v>
      </c>
      <c r="E16" s="60" t="s">
        <v>1221</v>
      </c>
    </row>
    <row r="17" spans="1:5" ht="165.75" customHeight="1">
      <c r="A17" s="6"/>
      <c r="B17" s="60" t="s">
        <v>1222</v>
      </c>
      <c r="C17" s="60" t="s">
        <v>1223</v>
      </c>
      <c r="D17" s="60" t="s">
        <v>1224</v>
      </c>
      <c r="E17" s="60" t="s">
        <v>1225</v>
      </c>
    </row>
    <row r="18" spans="1:5">
      <c r="A18" s="6"/>
      <c r="B18" s="60"/>
      <c r="C18" s="60"/>
      <c r="D18" s="60"/>
      <c r="E18" s="60"/>
    </row>
    <row r="19" spans="1:5">
      <c r="A19" s="47"/>
      <c r="B19" s="30"/>
      <c r="C19" s="60"/>
      <c r="D19" s="60"/>
      <c r="E19" s="60"/>
    </row>
    <row r="20" spans="1:5">
      <c r="A20" s="47"/>
      <c r="B20"/>
      <c r="C20" s="60"/>
      <c r="D20" s="60"/>
      <c r="E20" s="60"/>
    </row>
    <row r="21" spans="1:5">
      <c r="A21" s="47"/>
      <c r="B21" s="2"/>
      <c r="C21" s="2"/>
      <c r="D21" s="2"/>
      <c r="E21" s="2"/>
    </row>
    <row r="22" spans="1:5">
      <c r="A22" s="13" t="s">
        <v>406</v>
      </c>
      <c r="B22" s="69" t="s">
        <v>1178</v>
      </c>
      <c r="C22" s="69" t="s">
        <v>1178</v>
      </c>
      <c r="D22" s="69" t="s">
        <v>1178</v>
      </c>
      <c r="E22" s="69" t="s">
        <v>1178</v>
      </c>
    </row>
    <row r="23" spans="1:5">
      <c r="A23" s="15"/>
      <c r="B23" s="12" t="s">
        <v>1179</v>
      </c>
      <c r="C23" s="12" t="s">
        <v>1179</v>
      </c>
      <c r="D23" s="12" t="s">
        <v>1179</v>
      </c>
      <c r="E23" s="12" t="s">
        <v>1179</v>
      </c>
    </row>
    <row r="24" spans="1:5">
      <c r="A24" s="13"/>
      <c r="B24" s="12" t="s">
        <v>134</v>
      </c>
      <c r="C24" s="69" t="s">
        <v>413</v>
      </c>
      <c r="D24" s="12" t="s">
        <v>134</v>
      </c>
      <c r="E24" s="69" t="s">
        <v>413</v>
      </c>
    </row>
    <row r="25" spans="1:5">
      <c r="A25" s="13"/>
      <c r="B25" s="12"/>
      <c r="C25" s="12" t="s">
        <v>134</v>
      </c>
      <c r="D25" s="12"/>
      <c r="E25" s="12" t="s">
        <v>134</v>
      </c>
    </row>
    <row r="26" spans="1:5">
      <c r="A26" s="13"/>
      <c r="B26" s="12"/>
      <c r="C26" s="12"/>
      <c r="D26" s="12"/>
      <c r="E26" s="12"/>
    </row>
    <row r="27" spans="1:5">
      <c r="A27" s="12"/>
      <c r="B27" s="12"/>
      <c r="C27" s="12"/>
      <c r="D27" s="12"/>
      <c r="E27" s="12"/>
    </row>
    <row r="28" spans="1:5">
      <c r="A28" s="13"/>
      <c r="B28" s="12"/>
      <c r="C28" s="12"/>
      <c r="D28" s="12"/>
      <c r="E28" s="12"/>
    </row>
    <row r="29" spans="1:5">
      <c r="A29" s="13"/>
      <c r="C29" s="12"/>
      <c r="D29" s="12"/>
      <c r="E29" s="12"/>
    </row>
    <row r="30" spans="1:5">
      <c r="A30" s="13"/>
      <c r="C30" s="12"/>
      <c r="E30" s="12"/>
    </row>
    <row r="31" spans="1:5">
      <c r="A31" s="13"/>
    </row>
    <row r="32" spans="1:5">
      <c r="A32" s="13"/>
    </row>
    <row r="33" spans="1:5">
      <c r="A33" s="13"/>
    </row>
    <row r="34" spans="1:5">
      <c r="A34" s="13"/>
    </row>
    <row r="35" spans="1:5">
      <c r="A35" s="13"/>
      <c r="B35" s="12"/>
    </row>
    <row r="36" spans="1:5">
      <c r="A36" s="13"/>
      <c r="D36" s="12"/>
    </row>
    <row r="37" spans="1:5">
      <c r="A37" s="13"/>
      <c r="C37" s="12"/>
      <c r="E37" s="12"/>
    </row>
    <row r="38" spans="1:5">
      <c r="A38" s="13"/>
    </row>
  </sheetData>
  <pageMargins left="0.7" right="0.7" top="0.75" bottom="0.75" header="0.3" footer="0.3"/>
  <pageSetup paperSize="8" scale="97" fitToWidth="0" orientation="landscape" verticalDpi="598"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00B050"/>
    <pageSetUpPr fitToPage="1"/>
  </sheetPr>
  <dimension ref="A1:I36"/>
  <sheetViews>
    <sheetView zoomScale="115" zoomScaleNormal="115" workbookViewId="0">
      <selection sqref="A1:XFD1"/>
    </sheetView>
  </sheetViews>
  <sheetFormatPr defaultColWidth="9" defaultRowHeight="15"/>
  <cols>
    <col min="1" max="1" width="17.125" style="4" bestFit="1" customWidth="1"/>
    <col min="2" max="5" width="37.375" style="1" customWidth="1"/>
  </cols>
  <sheetData>
    <row r="1" spans="1:9">
      <c r="A1" s="61"/>
      <c r="B1" s="117"/>
      <c r="C1" s="117"/>
      <c r="D1" s="117"/>
      <c r="E1" s="117"/>
    </row>
    <row r="2" spans="1:9" ht="15.75">
      <c r="A2" s="9"/>
      <c r="B2" s="174" t="s">
        <v>1226</v>
      </c>
      <c r="C2" s="174" t="s">
        <v>1227</v>
      </c>
      <c r="D2" s="174" t="s">
        <v>1228</v>
      </c>
      <c r="E2" s="174" t="s">
        <v>1229</v>
      </c>
    </row>
    <row r="3" spans="1:9">
      <c r="A3" s="10" t="s">
        <v>36</v>
      </c>
      <c r="B3" s="176" t="s">
        <v>40</v>
      </c>
      <c r="C3" s="176" t="s">
        <v>40</v>
      </c>
      <c r="D3" s="176" t="s">
        <v>40</v>
      </c>
      <c r="E3" s="176" t="s">
        <v>40</v>
      </c>
    </row>
    <row r="4" spans="1:9">
      <c r="A4" s="10" t="s">
        <v>38</v>
      </c>
      <c r="B4" s="175" t="s">
        <v>1210</v>
      </c>
      <c r="C4" s="175" t="s">
        <v>1210</v>
      </c>
      <c r="D4" s="175" t="s">
        <v>1211</v>
      </c>
      <c r="E4" s="175" t="s">
        <v>1211</v>
      </c>
    </row>
    <row r="5" spans="1:9">
      <c r="A5" s="10" t="s">
        <v>42</v>
      </c>
      <c r="B5" s="175" t="s">
        <v>1230</v>
      </c>
      <c r="C5" s="175" t="s">
        <v>1230</v>
      </c>
      <c r="D5" s="175" t="s">
        <v>1230</v>
      </c>
      <c r="E5" s="175" t="s">
        <v>1230</v>
      </c>
    </row>
    <row r="6" spans="1:9">
      <c r="A6" s="10" t="s">
        <v>48</v>
      </c>
      <c r="B6" s="175" t="s">
        <v>1189</v>
      </c>
      <c r="C6" s="175" t="s">
        <v>1189</v>
      </c>
      <c r="D6" s="175" t="s">
        <v>1189</v>
      </c>
      <c r="E6" s="175" t="s">
        <v>1189</v>
      </c>
    </row>
    <row r="7" spans="1:9">
      <c r="A7" s="10" t="s">
        <v>534</v>
      </c>
      <c r="B7" s="83" t="s">
        <v>265</v>
      </c>
      <c r="C7" s="175" t="s">
        <v>265</v>
      </c>
      <c r="D7" s="175" t="s">
        <v>265</v>
      </c>
      <c r="E7" s="175" t="s">
        <v>265</v>
      </c>
    </row>
    <row r="8" spans="1:9" ht="15.75" thickBot="1">
      <c r="A8" s="10" t="s">
        <v>824</v>
      </c>
      <c r="B8" s="177" t="s">
        <v>1150</v>
      </c>
      <c r="C8" s="177" t="s">
        <v>253</v>
      </c>
      <c r="D8" s="177" t="s">
        <v>1150</v>
      </c>
      <c r="E8" s="177" t="s">
        <v>253</v>
      </c>
    </row>
    <row r="9" spans="1:9" ht="195.75" thickBot="1">
      <c r="A9" s="20" t="s">
        <v>50</v>
      </c>
      <c r="B9" s="181" t="s">
        <v>1231</v>
      </c>
      <c r="C9" s="181" t="s">
        <v>1232</v>
      </c>
      <c r="D9" s="181" t="s">
        <v>1233</v>
      </c>
      <c r="E9" s="181" t="s">
        <v>1234</v>
      </c>
    </row>
    <row r="10" spans="1:9">
      <c r="A10" s="135" t="s">
        <v>63</v>
      </c>
      <c r="B10" s="130">
        <v>2200</v>
      </c>
      <c r="C10" s="130">
        <v>2200</v>
      </c>
      <c r="D10" s="130">
        <v>2200</v>
      </c>
      <c r="E10" s="130">
        <v>2200</v>
      </c>
    </row>
    <row r="11" spans="1:9">
      <c r="A11" s="136" t="s">
        <v>81</v>
      </c>
      <c r="B11" s="133" t="s">
        <v>555</v>
      </c>
      <c r="C11" s="131" t="s">
        <v>555</v>
      </c>
      <c r="D11" s="131" t="s">
        <v>555</v>
      </c>
      <c r="E11" s="131" t="s">
        <v>555</v>
      </c>
      <c r="F11" s="129"/>
      <c r="G11" s="129"/>
      <c r="H11" s="129"/>
      <c r="I11" s="129"/>
    </row>
    <row r="12" spans="1:9" s="7" customFormat="1">
      <c r="A12" s="102"/>
      <c r="B12" s="134" t="s">
        <v>1235</v>
      </c>
      <c r="C12" s="132" t="s">
        <v>1235</v>
      </c>
      <c r="D12" s="132" t="s">
        <v>1235</v>
      </c>
      <c r="E12" s="132" t="s">
        <v>1235</v>
      </c>
    </row>
    <row r="13" spans="1:9">
      <c r="A13" s="14"/>
      <c r="B13" s="116" t="s">
        <v>83</v>
      </c>
      <c r="C13" s="116" t="s">
        <v>83</v>
      </c>
      <c r="D13" s="116" t="s">
        <v>83</v>
      </c>
      <c r="E13" s="116" t="s">
        <v>83</v>
      </c>
    </row>
    <row r="14" spans="1:9" s="49" customFormat="1" ht="68.25" customHeight="1">
      <c r="A14" s="5" t="s">
        <v>84</v>
      </c>
      <c r="B14" s="169" t="s">
        <v>1236</v>
      </c>
      <c r="C14" s="169" t="s">
        <v>1236</v>
      </c>
      <c r="D14" s="169" t="s">
        <v>1237</v>
      </c>
      <c r="E14" s="169" t="s">
        <v>1237</v>
      </c>
    </row>
    <row r="15" spans="1:9" ht="75">
      <c r="A15"/>
      <c r="B15" s="60" t="s">
        <v>1238</v>
      </c>
      <c r="C15" s="60" t="s">
        <v>1238</v>
      </c>
      <c r="D15" s="60" t="s">
        <v>1238</v>
      </c>
      <c r="E15" s="60" t="s">
        <v>1238</v>
      </c>
    </row>
    <row r="16" spans="1:9" ht="105">
      <c r="A16" s="6"/>
      <c r="B16" s="19" t="s">
        <v>1239</v>
      </c>
      <c r="C16" s="19" t="s">
        <v>1240</v>
      </c>
      <c r="D16" s="19" t="s">
        <v>1241</v>
      </c>
      <c r="E16" s="19" t="s">
        <v>1242</v>
      </c>
    </row>
    <row r="17" spans="1:5" ht="60">
      <c r="A17" s="6"/>
      <c r="B17" s="60" t="s">
        <v>1243</v>
      </c>
      <c r="C17" s="60" t="s">
        <v>1243</v>
      </c>
      <c r="D17" s="60" t="s">
        <v>1244</v>
      </c>
      <c r="E17" s="60" t="s">
        <v>1244</v>
      </c>
    </row>
    <row r="18" spans="1:5">
      <c r="A18" s="47"/>
      <c r="B18" s="60"/>
      <c r="C18" s="60"/>
      <c r="D18" s="60"/>
      <c r="E18" s="60"/>
    </row>
    <row r="19" spans="1:5">
      <c r="A19" s="47"/>
      <c r="B19" s="60"/>
      <c r="C19" s="60"/>
      <c r="D19" s="60"/>
      <c r="E19" s="60"/>
    </row>
    <row r="20" spans="1:5">
      <c r="A20" s="13" t="s">
        <v>406</v>
      </c>
      <c r="B20" s="69" t="s">
        <v>1178</v>
      </c>
      <c r="C20" s="69" t="s">
        <v>1178</v>
      </c>
      <c r="D20" s="69" t="s">
        <v>1178</v>
      </c>
      <c r="E20" s="69" t="s">
        <v>1178</v>
      </c>
    </row>
    <row r="21" spans="1:5">
      <c r="A21" s="15"/>
      <c r="B21" s="12" t="s">
        <v>1179</v>
      </c>
      <c r="C21" s="12" t="s">
        <v>1179</v>
      </c>
      <c r="D21" s="12" t="s">
        <v>1179</v>
      </c>
      <c r="E21" s="12" t="s">
        <v>1179</v>
      </c>
    </row>
    <row r="22" spans="1:5">
      <c r="A22" s="13"/>
      <c r="B22" s="12" t="s">
        <v>1204</v>
      </c>
      <c r="C22" s="12" t="s">
        <v>1204</v>
      </c>
      <c r="D22" s="12" t="s">
        <v>1204</v>
      </c>
      <c r="E22" s="12" t="s">
        <v>1204</v>
      </c>
    </row>
    <row r="23" spans="1:5">
      <c r="A23" s="13"/>
      <c r="B23" s="12" t="s">
        <v>1245</v>
      </c>
      <c r="C23" s="12" t="s">
        <v>1245</v>
      </c>
      <c r="D23" s="12" t="s">
        <v>1245</v>
      </c>
      <c r="E23" s="12" t="s">
        <v>1245</v>
      </c>
    </row>
    <row r="24" spans="1:5">
      <c r="A24" s="13"/>
      <c r="B24" s="12" t="s">
        <v>1246</v>
      </c>
      <c r="C24" s="12" t="s">
        <v>1246</v>
      </c>
      <c r="D24" s="12" t="s">
        <v>1246</v>
      </c>
      <c r="E24" s="12" t="s">
        <v>1246</v>
      </c>
    </row>
    <row r="25" spans="1:5">
      <c r="A25" s="13"/>
      <c r="B25" s="12" t="s">
        <v>134</v>
      </c>
      <c r="C25" s="69" t="s">
        <v>413</v>
      </c>
      <c r="D25" s="12" t="s">
        <v>134</v>
      </c>
      <c r="E25" s="69" t="s">
        <v>413</v>
      </c>
    </row>
    <row r="26" spans="1:5">
      <c r="A26" s="12"/>
      <c r="B26" s="12" t="s">
        <v>146</v>
      </c>
      <c r="C26" s="12" t="s">
        <v>134</v>
      </c>
      <c r="D26" s="12" t="s">
        <v>146</v>
      </c>
      <c r="E26" s="12" t="s">
        <v>134</v>
      </c>
    </row>
    <row r="27" spans="1:5">
      <c r="A27" s="13"/>
      <c r="B27" s="12" t="s">
        <v>147</v>
      </c>
      <c r="C27" s="12" t="s">
        <v>146</v>
      </c>
      <c r="D27" s="12" t="s">
        <v>147</v>
      </c>
      <c r="E27" s="12" t="s">
        <v>146</v>
      </c>
    </row>
    <row r="28" spans="1:5">
      <c r="A28" s="13"/>
      <c r="C28" s="12" t="s">
        <v>147</v>
      </c>
      <c r="D28" s="12"/>
      <c r="E28" s="12" t="s">
        <v>147</v>
      </c>
    </row>
    <row r="29" spans="1:5">
      <c r="A29" s="13"/>
      <c r="C29" s="12"/>
      <c r="E29" s="12"/>
    </row>
    <row r="30" spans="1:5">
      <c r="A30" s="13"/>
    </row>
    <row r="31" spans="1:5">
      <c r="A31" s="13"/>
    </row>
    <row r="32" spans="1:5">
      <c r="A32" s="13"/>
    </row>
    <row r="33" spans="1:5">
      <c r="A33" s="13"/>
    </row>
    <row r="34" spans="1:5">
      <c r="A34" s="13"/>
      <c r="B34" s="12"/>
      <c r="D34" s="12"/>
    </row>
    <row r="35" spans="1:5">
      <c r="A35" s="13"/>
      <c r="C35" s="12"/>
      <c r="E35" s="12"/>
    </row>
    <row r="36" spans="1:5">
      <c r="A36" s="13"/>
    </row>
  </sheetData>
  <pageMargins left="0.7" right="0.7" top="0.75" bottom="0.75" header="0.3" footer="0.3"/>
  <pageSetup paperSize="8" fitToWidth="0" orientation="landscape" verticalDpi="598"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
  <sheetViews>
    <sheetView workbookViewId="0">
      <selection activeCell="J31" sqref="J31"/>
    </sheetView>
  </sheetViews>
  <sheetFormatPr defaultColWidth="9" defaultRowHeight="14.25"/>
  <sheetData/>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FA3D734B8F044A944BEC52161EB707" ma:contentTypeVersion="18" ma:contentTypeDescription="Create a new document." ma:contentTypeScope="" ma:versionID="5a06e7fcb377aa65ac67d00671005b6b">
  <xsd:schema xmlns:xsd="http://www.w3.org/2001/XMLSchema" xmlns:xs="http://www.w3.org/2001/XMLSchema" xmlns:p="http://schemas.microsoft.com/office/2006/metadata/properties" xmlns:ns2="a451f375-63eb-4e86-8d34-45bcb3463324" xmlns:ns3="a0097241-6f03-42ce-a713-bd87d5bb0233" targetNamespace="http://schemas.microsoft.com/office/2006/metadata/properties" ma:root="true" ma:fieldsID="91261377c503f15577dc70929eb55a3f" ns2:_="" ns3:_="">
    <xsd:import namespace="a451f375-63eb-4e86-8d34-45bcb3463324"/>
    <xsd:import namespace="a0097241-6f03-42ce-a713-bd87d5bb023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1f375-63eb-4e86-8d34-45bcb34633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38be542-9329-4dbf-95c3-f4c947cae1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097241-6f03-42ce-a713-bd87d5bb023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a07df3a-9c63-4fd8-b0e6-2409004b9daa}" ma:internalName="TaxCatchAll" ma:showField="CatchAllData" ma:web="a0097241-6f03-42ce-a713-bd87d5bb02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451f375-63eb-4e86-8d34-45bcb3463324">
      <Terms xmlns="http://schemas.microsoft.com/office/infopath/2007/PartnerControls"/>
    </lcf76f155ced4ddcb4097134ff3c332f>
    <TaxCatchAll xmlns="a0097241-6f03-42ce-a713-bd87d5bb023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2E327F-6767-45ED-A1B8-1761D1984773}"/>
</file>

<file path=customXml/itemProps2.xml><?xml version="1.0" encoding="utf-8"?>
<ds:datastoreItem xmlns:ds="http://schemas.openxmlformats.org/officeDocument/2006/customXml" ds:itemID="{C33B3AEE-CE9E-41E0-A1F4-D34F26CC7549}"/>
</file>

<file path=customXml/itemProps3.xml><?xml version="1.0" encoding="utf-8"?>
<ds:datastoreItem xmlns:ds="http://schemas.openxmlformats.org/officeDocument/2006/customXml" ds:itemID="{3A86767D-2F9A-4E19-AE98-5CDD80A15B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2017-08-05T20:47:53Z</dcterms:created>
  <dcterms:modified xsi:type="dcterms:W3CDTF">2026-03-22T22:47:54Z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0x01010038FA3D734B8F044A944BEC52161EB707</vt:lpwstr>
  </property>
  <property fmtid="{D5CDD505-2E9C-101B-9397-08002B2CF9AE}" pid="3" name="MediaServiceImageTags">
    <vt:lpwstr/>
  </property>
</Properties>
</file>